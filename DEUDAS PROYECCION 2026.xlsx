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cad9fe548e37d5d9/Documentos/"/>
    </mc:Choice>
  </mc:AlternateContent>
  <xr:revisionPtr revIDLastSave="0" documentId="8_{20AF6788-8D68-4A2D-B75F-1BC78F630A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YECCION PAGOS" sheetId="3" r:id="rId1"/>
    <sheet name="DISPONIBLE" sheetId="2" r:id="rId2"/>
    <sheet name="CREDITOS CONTROL" sheetId="4" r:id="rId3"/>
    <sheet name="DAVIVIENDA" sheetId="5" r:id="rId4"/>
    <sheet name="ICETEX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G17" i="3"/>
  <c r="G3" i="3"/>
  <c r="D9" i="3"/>
  <c r="F10" i="4"/>
  <c r="D13" i="6"/>
  <c r="D12" i="6"/>
  <c r="D1" i="6"/>
  <c r="D3" i="6" s="1"/>
  <c r="F11" i="5"/>
  <c r="F12" i="5" s="1"/>
  <c r="G12" i="5" s="1"/>
  <c r="D14" i="6" l="1"/>
  <c r="F9" i="4"/>
  <c r="B4" i="4"/>
  <c r="R3" i="3"/>
  <c r="Q3" i="3"/>
  <c r="Q19" i="3" s="1"/>
  <c r="P3" i="3"/>
  <c r="P19" i="3" s="1"/>
  <c r="O3" i="3"/>
  <c r="O19" i="3" s="1"/>
  <c r="L3" i="3"/>
  <c r="N3" i="3"/>
  <c r="N19" i="3" s="1"/>
  <c r="M3" i="3"/>
  <c r="M19" i="3" s="1"/>
  <c r="K3" i="3"/>
  <c r="J3" i="3"/>
  <c r="I3" i="3"/>
  <c r="H17" i="3"/>
  <c r="H3" i="3"/>
  <c r="R17" i="3"/>
  <c r="P17" i="3"/>
  <c r="N17" i="3"/>
  <c r="L17" i="3"/>
  <c r="J17" i="3"/>
  <c r="B11" i="4"/>
  <c r="E6" i="4"/>
  <c r="F17" i="3"/>
  <c r="I19" i="3" l="1"/>
  <c r="G19" i="3"/>
  <c r="J19" i="3"/>
  <c r="L19" i="3"/>
  <c r="R19" i="3"/>
  <c r="H19" i="3"/>
  <c r="D15" i="6"/>
  <c r="K17" i="3"/>
  <c r="K19" i="3" s="1"/>
  <c r="F3" i="3"/>
  <c r="F19" i="3" s="1"/>
  <c r="F12" i="4"/>
  <c r="F11" i="4"/>
  <c r="F8" i="4"/>
  <c r="F6" i="4"/>
  <c r="F5" i="4"/>
  <c r="F4" i="4"/>
  <c r="F3" i="4"/>
  <c r="F2" i="4"/>
  <c r="B7" i="4"/>
  <c r="I17" i="3"/>
  <c r="E17" i="3"/>
  <c r="B19" i="3"/>
  <c r="D16" i="6" l="1"/>
  <c r="F7" i="4"/>
  <c r="S19" i="3"/>
  <c r="D17" i="6" l="1"/>
  <c r="D18" i="6" l="1"/>
  <c r="D19" i="6" l="1"/>
  <c r="D20" i="6" l="1"/>
  <c r="D21" i="6" l="1"/>
  <c r="D22" i="6" l="1"/>
  <c r="D23" i="6" l="1"/>
  <c r="D24" i="6" l="1"/>
  <c r="D25" i="6" l="1"/>
  <c r="D26" i="6" l="1"/>
  <c r="D27" i="6" l="1"/>
  <c r="D28" i="6" s="1"/>
  <c r="D29" i="6" l="1"/>
  <c r="D30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Julibeth</author>
  </authors>
  <commentList>
    <comment ref="G16" authorId="0" shapeId="0" xr:uid="{D3DA8EDB-1017-4B89-A199-3C639C93CE2E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Cuota 1</t>
        </r>
      </text>
    </comment>
    <comment ref="Q16" authorId="0" shapeId="0" xr:uid="{50A3A5FB-1765-4B5B-8B31-DAE04A3EE91D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Brilla cuota 2</t>
        </r>
      </text>
    </comment>
    <comment ref="F17" authorId="0" shapeId="0" xr:uid="{47CE2A58-9D2C-4B23-8E44-F906B69AE3F1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100,000 TIO JOSE
400,000 MARYI
40,000  CRED PEQ
314,000 RAYO
54,000 Sra jose agua </t>
        </r>
      </text>
    </comment>
    <comment ref="G17" authorId="0" shapeId="0" xr:uid="{031A56E0-490E-4129-9088-3F4314469EC9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130,000 RAPICREDIT 1 
270,000 RAYO FINAL
40,000 CREDITO
156,000 EPM ITAGUI</t>
        </r>
      </text>
    </comment>
    <comment ref="H17" authorId="0" shapeId="0" xr:uid="{7B4EBB82-2D39-410C-A253-F999524CFA3A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380,000 Maryi
100,000 tio jose
240,000 credito</t>
        </r>
      </text>
    </comment>
    <comment ref="I17" authorId="0" shapeId="0" xr:uid="{08574419-6FBC-4F79-BFA8-BF78C624A770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Rapicredit 2</t>
        </r>
      </text>
    </comment>
    <comment ref="J17" authorId="0" shapeId="0" xr:uid="{1225FE8F-8396-4B01-A03D-9CBBAB8B3AC3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360,000 Maryi
100,000 tio jose</t>
        </r>
      </text>
    </comment>
    <comment ref="K17" authorId="0" shapeId="0" xr:uid="{FBE8F394-AC6B-4EE8-A647-0B197BC43D9C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Rapicredit 3</t>
        </r>
      </text>
    </comment>
    <comment ref="L17" authorId="0" shapeId="0" xr:uid="{DFD8C27C-E191-4C36-908F-B421BEB2687C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340,000 maryi
100,000 tio</t>
        </r>
      </text>
    </comment>
    <comment ref="N17" authorId="0" shapeId="0" xr:uid="{8A08789F-3AEB-4D6C-8598-B18F62DD6F5C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320,000 maryi
100,000 tio</t>
        </r>
      </text>
    </comment>
    <comment ref="P17" authorId="0" shapeId="0" xr:uid="{2EBD847B-ABAA-493B-8AE4-D7060A5835FB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300,000 maryi 
100,000 tio</t>
        </r>
      </text>
    </comment>
    <comment ref="R17" authorId="0" shapeId="0" xr:uid="{5187C6BE-9128-439C-8044-6612824424CB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280,000 maryi
1,100,000 tio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Julibeth</author>
  </authors>
  <commentList>
    <comment ref="E2" authorId="0" shapeId="0" xr:uid="{1BD84002-404E-46D7-8C12-5B0540D25B00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Pago 30 Julio</t>
        </r>
      </text>
    </comment>
    <comment ref="E3" authorId="0" shapeId="0" xr:uid="{A8B6EE7A-CF03-41AE-940A-B6A76CFC4F67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Abono 200,000 30/06 Saldo 1,800,000 ok
Abono 200,000 30/07 Saldo 1,600,000
Abono  200,000 30/08 Saldo 1,400,000
Abono 200,000 30/09 Saldo 1,200,000
Abono 200,000 30/10 Saldo 1,000,000
Abono 200,000 30/11 Saldo 800,000
Abono 200,000 30/12 Saldo 600,000
Abono 200,000 30/01 Saldo 400,000
Abono 200,000 30/02 Saldo 200,000
Abono 200,000 30/03 Saldo 0</t>
        </r>
      </text>
    </comment>
    <comment ref="E4" authorId="0" shapeId="0" xr:uid="{E0264C4F-49B9-4027-AF69-1541844CD4E7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Credito 12 Cuota 200,000             credito 24 Cuota 100,000
15/08 cuota 1  2026
15/09 cuota 2                              15/09 Cuota 1 2026
15/10 cuota 3                              15/10 Cuota 2
15/11 cuota 4                              15/11 Cuota 3
15/12 cuota 5                              15/12 Cuota 4
15/01 cuota 6                              15/01 Cuota 5 2027
15/02 cuota 7                              15/02 Cuota 6
15/03 cuota 8                              15/03 Cuota 7
15/04 cuota 9                              15/04 Cuota 8
15/05 cuota 10                             15/05 Cuota 9
15/06 cuota 11                             15/06 Cuota 10
15/07 cuota 12                             15/07 Cuota 11
                                                  15/08 Cuota 12
                                                  15/09 Cuota 13
                                                  15/10 Cuota 14
                                                  15/11 Cuota 15
                                                  15/12 Cuota 16
                                                  15/01  Cuota 17 2028
                                                  15/02 Cuota 18
                                                  15/03 Cuota 19
                                                  15/04 Cuota 20
                                                  15/05 Cuota 21
                                                  15/06 Cuota 22
                                                  15/07 Cuota 23
                                                  15/08 Cuota 24</t>
        </r>
      </text>
    </comment>
    <comment ref="E6" authorId="0" shapeId="0" xr:uid="{83190441-59C5-4927-A630-5210554E4A12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15 JUN 125,000 PAGO
30 JUN 125,000 PAGO
15 JUL 125,000 PAGO
30 JUL 125,000 PAGO FINALIZA</t>
        </r>
      </text>
    </comment>
    <comment ref="E7" authorId="0" shapeId="0" xr:uid="{05A98854-F4B7-47E7-9B71-50AF2709CEAB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30/06 pago 270,000
15/07 pago 270,000 finaliza</t>
        </r>
      </text>
    </comment>
    <comment ref="E8" authorId="0" shapeId="0" xr:uid="{F35FCD03-2843-481B-B0E5-459295651673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15 JUL 130,000 CUOTA 1
15 AGO 130,000 CUOTA 2
15 SEPT 130,000 CUOTA 3 FINALIZA</t>
        </r>
      </text>
    </comment>
    <comment ref="E9" authorId="0" shapeId="0" xr:uid="{E7358BCC-216C-429A-8980-12B70D2A254A}">
      <text>
        <r>
          <rPr>
            <b/>
            <sz val="9"/>
            <color indexed="81"/>
            <rFont val="Tahoma"/>
            <family val="2"/>
          </rPr>
          <t>Julibeth:</t>
        </r>
        <r>
          <rPr>
            <sz val="9"/>
            <color indexed="81"/>
            <rFont val="Tahoma"/>
            <family val="2"/>
          </rPr>
          <t xml:space="preserve">
60 Cuotas de 762,000 = 45,720,000
Inicia   Octubre de 2025
Finaliza Septiembre de 2030</t>
        </r>
      </text>
    </comment>
  </commentList>
</comments>
</file>

<file path=xl/sharedStrings.xml><?xml version="1.0" encoding="utf-8"?>
<sst xmlns="http://schemas.openxmlformats.org/spreadsheetml/2006/main" count="63" uniqueCount="54">
  <si>
    <t>15 junio</t>
  </si>
  <si>
    <t>30 junio</t>
  </si>
  <si>
    <t>15 julio</t>
  </si>
  <si>
    <t>30 julio</t>
  </si>
  <si>
    <t>15 agosto</t>
  </si>
  <si>
    <t>30 agosto</t>
  </si>
  <si>
    <t>15 Septiem</t>
  </si>
  <si>
    <t>30 Septiem</t>
  </si>
  <si>
    <t>15 Oct</t>
  </si>
  <si>
    <t>30 Oct</t>
  </si>
  <si>
    <t>15 Nov</t>
  </si>
  <si>
    <t>30 Nov</t>
  </si>
  <si>
    <t>15 Dic</t>
  </si>
  <si>
    <t>30 Dic</t>
  </si>
  <si>
    <t>INGRESO</t>
  </si>
  <si>
    <t>PAGOS MENSUALES</t>
  </si>
  <si>
    <t>PAGOS  PTES</t>
  </si>
  <si>
    <t>TIGO CASA 30</t>
  </si>
  <si>
    <t>CLARO 15 OSCAR</t>
  </si>
  <si>
    <t>CELU CUOTAS</t>
  </si>
  <si>
    <t>RECORDAR</t>
  </si>
  <si>
    <t>ICETEX</t>
  </si>
  <si>
    <t>DAVIVIENDA</t>
  </si>
  <si>
    <t xml:space="preserve">SERVICIOS </t>
  </si>
  <si>
    <t>ARRIENDO</t>
  </si>
  <si>
    <t>PTE</t>
  </si>
  <si>
    <t>MERCADO</t>
  </si>
  <si>
    <t>TARJETA PAPI</t>
  </si>
  <si>
    <t>YULEIDYS</t>
  </si>
  <si>
    <t>BRILLA</t>
  </si>
  <si>
    <t>OTROS PAGO</t>
  </si>
  <si>
    <t>SARA</t>
  </si>
  <si>
    <t>CREDITOS ACTUALES</t>
  </si>
  <si>
    <t>TOTAL</t>
  </si>
  <si>
    <t>MENSUAL</t>
  </si>
  <si>
    <t>CONTROL PAGADO</t>
  </si>
  <si>
    <t>SALDO</t>
  </si>
  <si>
    <t>CREDITO</t>
  </si>
  <si>
    <t>MARYI</t>
  </si>
  <si>
    <t>TIO JOSE</t>
  </si>
  <si>
    <t>RAYO</t>
  </si>
  <si>
    <t>RAPICREDIT</t>
  </si>
  <si>
    <t>SIOMARA 1 PRESTAMO</t>
  </si>
  <si>
    <t>Ahorro a diciembre</t>
  </si>
  <si>
    <t>JENI PRESTAMO</t>
  </si>
  <si>
    <t>Saldo total  credito</t>
  </si>
  <si>
    <t>Saldo total a pagar</t>
  </si>
  <si>
    <t>Mensual en interes</t>
  </si>
  <si>
    <t>CUOTAS PACTADAS</t>
  </si>
  <si>
    <t>SALDO TOTAL</t>
  </si>
  <si>
    <t>Intereses</t>
  </si>
  <si>
    <t>Vencido</t>
  </si>
  <si>
    <t>Abonos</t>
  </si>
  <si>
    <t>Pague hasta 30 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</si>
</sst>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164" fontId="0" fillId="0" borderId="0" xfId="1" applyNumberFormat="1" applyFont="1"/>
    <xf numFmtId="164" fontId="4" fillId="0" borderId="0" xfId="1" applyNumberFormat="1" applyFont="1"/>
    <xf numFmtId="164" fontId="4" fillId="2" borderId="0" xfId="1" applyNumberFormat="1" applyFont="1" applyFill="1"/>
    <xf numFmtId="0" fontId="4" fillId="0" borderId="0" xfId="0" applyFont="1"/>
    <xf numFmtId="164" fontId="1" fillId="0" borderId="0" xfId="1" applyNumberFormat="1" applyFont="1"/>
    <xf numFmtId="49" fontId="4" fillId="0" borderId="0" xfId="1" applyNumberFormat="1" applyFont="1"/>
    <xf numFmtId="49" fontId="0" fillId="0" borderId="0" xfId="0" applyNumberFormat="1"/>
    <xf numFmtId="3" fontId="1" fillId="3" borderId="0" xfId="0" applyNumberFormat="1" applyFont="1" applyFill="1"/>
    <xf numFmtId="0" fontId="0" fillId="3" borderId="0" xfId="0" applyFill="1"/>
    <xf numFmtId="164" fontId="0" fillId="3" borderId="0" xfId="1" applyNumberFormat="1" applyFont="1" applyFill="1"/>
    <xf numFmtId="0" fontId="1" fillId="3" borderId="0" xfId="0" applyFont="1" applyFill="1"/>
    <xf numFmtId="164" fontId="4" fillId="0" borderId="0" xfId="1" applyNumberFormat="1" applyFont="1" applyFill="1"/>
    <xf numFmtId="164" fontId="0" fillId="0" borderId="0" xfId="0" applyNumberFormat="1"/>
    <xf numFmtId="164" fontId="0" fillId="0" borderId="0" xfId="1" applyNumberFormat="1" applyFont="1" applyFill="1"/>
    <xf numFmtId="17" fontId="0" fillId="0" borderId="0" xfId="0" applyNumberFormat="1"/>
    <xf numFmtId="43" fontId="0" fillId="0" borderId="0" xfId="1" applyFont="1"/>
    <xf numFmtId="16" fontId="0" fillId="0" borderId="0" xfId="0" applyNumberFormat="1"/>
    <xf numFmtId="0" fontId="3" fillId="0" borderId="0" xfId="0" applyFont="1"/>
    <xf numFmtId="3" fontId="0" fillId="0" borderId="0" xfId="0" applyNumberFormat="1"/>
    <xf numFmtId="164" fontId="3" fillId="4" borderId="0" xfId="1" applyNumberFormat="1" applyFont="1" applyFill="1"/>
    <xf numFmtId="164" fontId="3" fillId="0" borderId="0" xfId="1" applyNumberFormat="1" applyFont="1"/>
  </cellXfs>
  <cellStyles count="2">
    <cellStyle name="Millares" xfId="1" builtinId="3"/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ROYECCIO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AF19-53D3-4230-A1A9-348A9B4E06ED}">
  <sheetPr>
    <outlinePr summaryBelow="0" summaryRight="0"/>
  </sheetPr>
  <dimension ref="A1:S991"/>
  <sheetViews>
    <sheetView tabSelected="1" workbookViewId="0">
      <selection activeCell="G10" sqref="G10"/>
    </sheetView>
  </sheetViews>
  <sheetFormatPr defaultColWidth="12.5703125" defaultRowHeight="12.75"/>
  <cols>
    <col min="1" max="1" width="21.5703125" customWidth="1"/>
    <col min="3" max="3" width="4.28515625" customWidth="1"/>
    <col min="4" max="4" width="14.85546875" style="5" customWidth="1"/>
    <col min="5" max="6" width="12.85546875" style="5" hidden="1" customWidth="1"/>
    <col min="7" max="10" width="12.85546875" style="5" bestFit="1" customWidth="1"/>
  </cols>
  <sheetData>
    <row r="1" spans="1:19">
      <c r="B1" s="1"/>
    </row>
    <row r="2" spans="1:19" ht="15" customHeight="1">
      <c r="B2" s="1"/>
      <c r="E2" s="5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5</v>
      </c>
      <c r="K2" s="10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0" t="s">
        <v>12</v>
      </c>
      <c r="R2" s="10" t="s">
        <v>13</v>
      </c>
      <c r="S2" s="11"/>
    </row>
    <row r="3" spans="1:19" ht="16.5" customHeight="1">
      <c r="B3" s="1"/>
      <c r="D3" s="5" t="s">
        <v>14</v>
      </c>
      <c r="E3" s="5">
        <v>1300000</v>
      </c>
      <c r="F3" s="5">
        <f>875000+875000</f>
        <v>1750000</v>
      </c>
      <c r="G3" s="25">
        <f>875000+1250000</f>
        <v>2125000</v>
      </c>
      <c r="H3" s="5">
        <f>875000+1500000+525000</f>
        <v>2900000</v>
      </c>
      <c r="I3" s="5">
        <f>875000+1500000</f>
        <v>2375000</v>
      </c>
      <c r="J3" s="5">
        <f>875000+1500000+787000+260000</f>
        <v>3422000</v>
      </c>
      <c r="K3" s="5">
        <f>875000+1500000</f>
        <v>2375000</v>
      </c>
      <c r="L3" s="5">
        <f>875000+1500000+525000</f>
        <v>2900000</v>
      </c>
      <c r="M3" s="5">
        <f>875000+1500000</f>
        <v>2375000</v>
      </c>
      <c r="N3" s="5">
        <f>875000+1500000+260000</f>
        <v>2635000</v>
      </c>
      <c r="O3" s="5">
        <f>875000+1500000</f>
        <v>2375000</v>
      </c>
      <c r="P3" s="5">
        <f>875000+1500000</f>
        <v>2375000</v>
      </c>
      <c r="Q3" s="5">
        <f>875000+1500000</f>
        <v>2375000</v>
      </c>
      <c r="R3" s="5">
        <f>875000+1500000+1500000</f>
        <v>3875000</v>
      </c>
    </row>
    <row r="4" spans="1:19" ht="15" customHeight="1">
      <c r="A4" s="2" t="s">
        <v>15</v>
      </c>
      <c r="B4" s="1"/>
      <c r="D4" s="5" t="s">
        <v>16</v>
      </c>
      <c r="K4" s="5"/>
      <c r="L4" s="5"/>
      <c r="M4" s="5"/>
      <c r="N4" s="5"/>
      <c r="O4" s="5"/>
      <c r="P4" s="5"/>
      <c r="Q4" s="5"/>
      <c r="R4" s="5"/>
    </row>
    <row r="5" spans="1:19" ht="15" customHeight="1">
      <c r="A5" s="2" t="s">
        <v>17</v>
      </c>
      <c r="B5" s="1">
        <v>90000</v>
      </c>
      <c r="E5" s="5">
        <v>90000</v>
      </c>
      <c r="F5" s="5">
        <v>90000</v>
      </c>
      <c r="H5" s="5">
        <v>90000</v>
      </c>
      <c r="J5" s="5">
        <v>90000</v>
      </c>
      <c r="K5" s="5"/>
      <c r="L5" s="5">
        <v>90000</v>
      </c>
      <c r="M5" s="5"/>
      <c r="N5" s="5">
        <v>90000</v>
      </c>
      <c r="O5" s="5"/>
      <c r="P5" s="5">
        <v>90000</v>
      </c>
      <c r="Q5" s="5"/>
      <c r="R5" s="5">
        <v>90000</v>
      </c>
    </row>
    <row r="6" spans="1:19" ht="15" customHeight="1">
      <c r="A6" s="2" t="s">
        <v>18</v>
      </c>
      <c r="B6" s="1">
        <v>40000</v>
      </c>
      <c r="E6" s="5">
        <v>40000</v>
      </c>
      <c r="G6" s="5">
        <v>40000</v>
      </c>
      <c r="I6" s="5">
        <v>40000</v>
      </c>
      <c r="K6" s="5">
        <v>40000</v>
      </c>
      <c r="L6" s="5"/>
      <c r="M6" s="5">
        <v>40000</v>
      </c>
      <c r="N6" s="5"/>
      <c r="O6" s="5">
        <v>40000</v>
      </c>
      <c r="P6" s="5"/>
      <c r="Q6" s="5">
        <v>40000</v>
      </c>
      <c r="R6" s="5"/>
    </row>
    <row r="7" spans="1:19" ht="15" customHeight="1">
      <c r="A7" s="2" t="s">
        <v>19</v>
      </c>
      <c r="B7" s="1">
        <v>142000</v>
      </c>
      <c r="E7" s="5">
        <v>142000</v>
      </c>
      <c r="G7" s="5">
        <v>142000</v>
      </c>
      <c r="I7" s="5">
        <v>142000</v>
      </c>
      <c r="K7" s="5">
        <v>142000</v>
      </c>
      <c r="L7" s="5"/>
      <c r="M7" s="5">
        <v>142000</v>
      </c>
      <c r="N7" s="5"/>
      <c r="O7" s="5">
        <v>142000</v>
      </c>
      <c r="P7" s="5"/>
      <c r="Q7" s="5">
        <v>142000</v>
      </c>
      <c r="R7" s="5"/>
    </row>
    <row r="8" spans="1:19" ht="15" customHeight="1">
      <c r="A8" s="2" t="s">
        <v>20</v>
      </c>
      <c r="B8" s="1">
        <v>45000</v>
      </c>
      <c r="D8" s="5">
        <v>343600</v>
      </c>
      <c r="G8" s="5">
        <v>100000</v>
      </c>
      <c r="H8" s="5">
        <v>100000</v>
      </c>
      <c r="I8" s="5">
        <v>100000</v>
      </c>
      <c r="J8" s="5">
        <v>100000</v>
      </c>
      <c r="K8" s="5">
        <v>100000</v>
      </c>
      <c r="L8" s="5">
        <v>45000</v>
      </c>
      <c r="M8" s="5"/>
      <c r="N8" s="5">
        <v>45000</v>
      </c>
      <c r="O8" s="5"/>
      <c r="P8" s="5">
        <v>45000</v>
      </c>
      <c r="Q8" s="5"/>
      <c r="R8" s="5">
        <v>45000</v>
      </c>
    </row>
    <row r="9" spans="1:19" ht="15" customHeight="1">
      <c r="A9" s="2" t="s">
        <v>21</v>
      </c>
      <c r="B9" s="1">
        <v>230000</v>
      </c>
      <c r="D9" s="5">
        <f>1396000+229000</f>
        <v>1625000</v>
      </c>
      <c r="H9" s="5">
        <v>300000</v>
      </c>
      <c r="J9" s="5">
        <v>300000</v>
      </c>
      <c r="K9" s="5"/>
      <c r="L9" s="5">
        <v>300000</v>
      </c>
      <c r="M9" s="5"/>
      <c r="N9" s="5">
        <v>300000</v>
      </c>
      <c r="O9" s="5"/>
      <c r="P9" s="5">
        <v>300000</v>
      </c>
      <c r="Q9" s="5"/>
      <c r="R9" s="5">
        <v>300000</v>
      </c>
    </row>
    <row r="10" spans="1:19" ht="15" customHeight="1">
      <c r="A10" s="2" t="s">
        <v>22</v>
      </c>
      <c r="B10" s="1">
        <v>760000</v>
      </c>
      <c r="H10" s="5">
        <v>760000</v>
      </c>
      <c r="J10" s="5">
        <v>760000</v>
      </c>
      <c r="K10" s="5"/>
      <c r="L10" s="5">
        <v>760000</v>
      </c>
      <c r="M10" s="5"/>
      <c r="N10" s="5">
        <v>760000</v>
      </c>
      <c r="O10" s="5"/>
      <c r="P10" s="5">
        <v>760000</v>
      </c>
      <c r="Q10" s="5"/>
      <c r="R10" s="5">
        <v>760000</v>
      </c>
    </row>
    <row r="11" spans="1:19" ht="15" customHeight="1">
      <c r="A11" s="2" t="s">
        <v>23</v>
      </c>
      <c r="B11" s="1"/>
      <c r="E11" s="5">
        <v>180000</v>
      </c>
      <c r="F11" s="5">
        <v>63000</v>
      </c>
      <c r="H11" s="5">
        <v>150000</v>
      </c>
      <c r="J11" s="5">
        <v>250000</v>
      </c>
      <c r="K11" s="5"/>
      <c r="L11" s="5">
        <v>250000</v>
      </c>
      <c r="M11" s="5"/>
      <c r="N11" s="5">
        <v>250000</v>
      </c>
      <c r="O11" s="5"/>
      <c r="P11" s="5">
        <v>250000</v>
      </c>
      <c r="Q11" s="5"/>
      <c r="R11" s="5">
        <v>250000</v>
      </c>
    </row>
    <row r="12" spans="1:19" ht="15" customHeight="1">
      <c r="A12" s="2" t="s">
        <v>24</v>
      </c>
      <c r="B12" s="1"/>
      <c r="G12" s="24" t="s">
        <v>25</v>
      </c>
      <c r="I12" s="5">
        <v>400000</v>
      </c>
      <c r="K12" s="5">
        <v>400000</v>
      </c>
      <c r="L12" s="5"/>
      <c r="M12" s="5">
        <v>400000</v>
      </c>
      <c r="N12" s="5"/>
      <c r="O12" s="5">
        <v>400000</v>
      </c>
      <c r="P12" s="5"/>
      <c r="Q12" s="5">
        <v>400000</v>
      </c>
      <c r="R12" s="5"/>
    </row>
    <row r="13" spans="1:19" ht="15" customHeight="1">
      <c r="A13" s="2" t="s">
        <v>26</v>
      </c>
      <c r="B13" s="1">
        <v>250000</v>
      </c>
      <c r="E13" s="5">
        <v>250000</v>
      </c>
      <c r="F13" s="5">
        <v>250000</v>
      </c>
      <c r="G13" s="5">
        <v>450000</v>
      </c>
      <c r="H13" s="5">
        <v>250000</v>
      </c>
      <c r="I13" s="5">
        <v>450000</v>
      </c>
      <c r="J13" s="5">
        <v>250000</v>
      </c>
      <c r="K13" s="5">
        <v>450000</v>
      </c>
      <c r="L13" s="5">
        <v>250000</v>
      </c>
      <c r="M13" s="5">
        <v>450000</v>
      </c>
      <c r="N13" s="5">
        <v>250000</v>
      </c>
      <c r="O13" s="5">
        <v>450000</v>
      </c>
      <c r="P13" s="5">
        <v>250000</v>
      </c>
      <c r="Q13" s="5">
        <v>450000</v>
      </c>
      <c r="R13" s="5">
        <v>250000</v>
      </c>
    </row>
    <row r="14" spans="1:19" ht="15" customHeight="1">
      <c r="A14" s="2" t="s">
        <v>27</v>
      </c>
      <c r="B14" s="1">
        <v>30000</v>
      </c>
      <c r="E14" s="5">
        <v>50000</v>
      </c>
      <c r="G14" s="5">
        <v>50000</v>
      </c>
      <c r="I14" s="5">
        <v>50000</v>
      </c>
      <c r="K14" s="5">
        <v>50000</v>
      </c>
      <c r="L14" s="5"/>
      <c r="M14" s="5">
        <v>50000</v>
      </c>
      <c r="N14" s="5"/>
      <c r="O14" s="5">
        <v>50000</v>
      </c>
      <c r="P14" s="5"/>
      <c r="Q14" s="5">
        <v>50000</v>
      </c>
      <c r="R14" s="5"/>
    </row>
    <row r="15" spans="1:19" ht="15" customHeight="1">
      <c r="A15" s="2" t="s">
        <v>28</v>
      </c>
      <c r="B15" s="3"/>
      <c r="E15" s="5">
        <v>125000</v>
      </c>
      <c r="F15" s="5">
        <v>125000</v>
      </c>
      <c r="G15" s="5">
        <v>125000</v>
      </c>
      <c r="H15" s="5">
        <v>125000</v>
      </c>
      <c r="K15" s="5"/>
      <c r="L15" s="5"/>
      <c r="M15" s="5"/>
      <c r="N15" s="5"/>
      <c r="O15" s="5"/>
      <c r="P15" s="5"/>
      <c r="Q15" s="5"/>
      <c r="R15" s="5"/>
    </row>
    <row r="16" spans="1:19" ht="15" customHeight="1">
      <c r="A16" s="2" t="s">
        <v>29</v>
      </c>
      <c r="B16" s="1"/>
      <c r="G16" s="5">
        <v>230000</v>
      </c>
      <c r="I16" s="5">
        <v>330000</v>
      </c>
      <c r="K16" s="5">
        <v>330000</v>
      </c>
      <c r="L16" s="5"/>
      <c r="M16" s="5">
        <v>330000</v>
      </c>
      <c r="N16" s="5"/>
      <c r="O16" s="5">
        <v>330000</v>
      </c>
      <c r="P16" s="5"/>
      <c r="Q16" s="5">
        <v>330000</v>
      </c>
      <c r="R16" s="5"/>
    </row>
    <row r="17" spans="1:19" ht="15" customHeight="1">
      <c r="A17" s="2" t="s">
        <v>30</v>
      </c>
      <c r="B17" s="3"/>
      <c r="E17" s="5">
        <f>40000</f>
        <v>40000</v>
      </c>
      <c r="F17" s="5">
        <f>100000+400000+40000+314000+54000</f>
        <v>908000</v>
      </c>
      <c r="G17" s="5">
        <f>130000+314000+40000+160000</f>
        <v>644000</v>
      </c>
      <c r="H17" s="5">
        <f>380000+100000+240000</f>
        <v>720000</v>
      </c>
      <c r="I17" s="5">
        <f>130000</f>
        <v>130000</v>
      </c>
      <c r="J17" s="5">
        <f>360000+100000</f>
        <v>460000</v>
      </c>
      <c r="K17" s="5">
        <f>130000</f>
        <v>130000</v>
      </c>
      <c r="L17" s="5">
        <f>340000+100000</f>
        <v>440000</v>
      </c>
      <c r="M17" s="5"/>
      <c r="N17" s="5">
        <f>320000+100000</f>
        <v>420000</v>
      </c>
      <c r="O17" s="5"/>
      <c r="P17" s="5">
        <f>300000+100000</f>
        <v>400000</v>
      </c>
      <c r="Q17" s="5"/>
      <c r="R17" s="5">
        <f>280000+1100000</f>
        <v>1380000</v>
      </c>
    </row>
    <row r="18" spans="1:19" ht="15" customHeight="1">
      <c r="A18" s="2" t="s">
        <v>31</v>
      </c>
      <c r="B18" s="3"/>
      <c r="G18" s="5">
        <v>250000</v>
      </c>
      <c r="H18" s="5">
        <v>250000</v>
      </c>
      <c r="I18" s="5">
        <v>250000</v>
      </c>
      <c r="J18" s="5">
        <v>250000</v>
      </c>
      <c r="K18" s="5">
        <v>250000</v>
      </c>
      <c r="L18" s="5">
        <v>250000</v>
      </c>
      <c r="M18" s="5">
        <v>250000</v>
      </c>
      <c r="N18" s="5">
        <v>250000</v>
      </c>
      <c r="O18" s="5">
        <v>250000</v>
      </c>
      <c r="P18" s="5">
        <v>250000</v>
      </c>
      <c r="Q18" s="5">
        <v>250000</v>
      </c>
      <c r="R18" s="5">
        <v>250000</v>
      </c>
    </row>
    <row r="19" spans="1:19" ht="13.5" customHeight="1">
      <c r="B19" s="3">
        <f>SUM(B5:B16)</f>
        <v>1587000</v>
      </c>
      <c r="D19" s="6">
        <v>1882600</v>
      </c>
      <c r="E19" s="7">
        <v>361000</v>
      </c>
      <c r="F19" s="6">
        <f>+F3-SUM(F4:F17)</f>
        <v>314000</v>
      </c>
      <c r="G19" s="16">
        <f t="shared" ref="G19:R19" si="0">+G3-SUM(G4:G18)</f>
        <v>94000</v>
      </c>
      <c r="H19" s="16">
        <f t="shared" si="0"/>
        <v>155000</v>
      </c>
      <c r="I19" s="16">
        <f t="shared" si="0"/>
        <v>483000</v>
      </c>
      <c r="J19" s="16">
        <f t="shared" si="0"/>
        <v>962000</v>
      </c>
      <c r="K19" s="16">
        <f t="shared" si="0"/>
        <v>483000</v>
      </c>
      <c r="L19" s="16">
        <f t="shared" si="0"/>
        <v>515000</v>
      </c>
      <c r="M19" s="16">
        <f t="shared" si="0"/>
        <v>713000</v>
      </c>
      <c r="N19" s="16">
        <f t="shared" si="0"/>
        <v>270000</v>
      </c>
      <c r="O19" s="16">
        <f t="shared" si="0"/>
        <v>713000</v>
      </c>
      <c r="P19" s="16">
        <f t="shared" si="0"/>
        <v>30000</v>
      </c>
      <c r="Q19" s="16">
        <f t="shared" si="0"/>
        <v>713000</v>
      </c>
      <c r="R19" s="16">
        <f t="shared" si="0"/>
        <v>550000</v>
      </c>
      <c r="S19" s="17">
        <f>SUM(G19:R19)</f>
        <v>5681000</v>
      </c>
    </row>
    <row r="20" spans="1:19">
      <c r="B20" s="1"/>
    </row>
    <row r="21" spans="1:19">
      <c r="A21" s="2"/>
      <c r="B21" s="1"/>
    </row>
    <row r="22" spans="1:19">
      <c r="A22" s="2"/>
      <c r="B22" s="1"/>
    </row>
    <row r="23" spans="1:19">
      <c r="B23" s="23"/>
    </row>
    <row r="24" spans="1:19">
      <c r="A24" s="22"/>
      <c r="B24" s="23"/>
    </row>
    <row r="25" spans="1:19">
      <c r="A25" s="22"/>
      <c r="B25" s="1"/>
    </row>
    <row r="26" spans="1:19">
      <c r="B26" s="23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</sheetData>
  <dataValidations count="1">
    <dataValidation type="custom" allowBlank="1" showDropDown="1" sqref="E16:I18 K16:K18 O16:O17 Q16:Q17 M16:M17" xr:uid="{AD8417FE-0837-4E48-A424-F27CA5BC17F2}">
      <formula1>AND(ISNUMBER(E16),(NOT(OR(NOT(ISERROR(DATEVALUE(E16))), AND(ISNUMBER(E16), LEFT(CELL("format", E16))="D")))))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>
      <selection activeCell="F18" sqref="F18"/>
    </sheetView>
  </sheetViews>
  <sheetFormatPr defaultColWidth="12.5703125" defaultRowHeight="15.75" customHeight="1"/>
  <cols>
    <col min="1" max="1" width="21.42578125" customWidth="1"/>
  </cols>
  <sheetData>
    <row r="1" spans="1:4" ht="12.75">
      <c r="A1" s="4"/>
      <c r="B1" s="3"/>
    </row>
    <row r="2" spans="1:4" ht="12.75">
      <c r="A2" s="2"/>
      <c r="B2" s="9"/>
    </row>
    <row r="3" spans="1:4" ht="12.75">
      <c r="A3" s="2"/>
      <c r="B3" s="9"/>
    </row>
    <row r="4" spans="1:4" ht="12.75">
      <c r="A4" s="2"/>
      <c r="B4" s="9"/>
      <c r="D4" s="2"/>
    </row>
    <row r="5" spans="1:4" ht="12.75">
      <c r="A5" s="2"/>
      <c r="B5" s="9"/>
      <c r="C5" s="2"/>
      <c r="D5" s="2"/>
    </row>
    <row r="6" spans="1:4" ht="15.75" customHeight="1">
      <c r="A6" s="2"/>
      <c r="B6" s="5"/>
    </row>
    <row r="7" spans="1:4" ht="12.75">
      <c r="A7" s="2"/>
      <c r="B7" s="9"/>
    </row>
    <row r="8" spans="1:4" ht="12.75">
      <c r="A8" s="2"/>
      <c r="B8" s="9"/>
    </row>
    <row r="9" spans="1:4" ht="12.75">
      <c r="A9" s="2"/>
      <c r="B9" s="9"/>
    </row>
    <row r="10" spans="1:4" ht="12.75">
      <c r="B10" s="3"/>
    </row>
    <row r="11" spans="1:4" ht="12.75">
      <c r="A11" s="4"/>
      <c r="B11" s="3"/>
    </row>
    <row r="12" spans="1:4" ht="12.75">
      <c r="B12" s="1"/>
    </row>
    <row r="13" spans="1:4" ht="12.75">
      <c r="B13" s="1"/>
    </row>
    <row r="14" spans="1:4" ht="12.75">
      <c r="B14" s="1"/>
    </row>
    <row r="15" spans="1:4" ht="12.75">
      <c r="B15" s="1"/>
    </row>
    <row r="16" spans="1:4" ht="12.75">
      <c r="B16" s="1"/>
    </row>
    <row r="17" spans="2:2" ht="12.75">
      <c r="B17" s="1"/>
    </row>
    <row r="18" spans="2:2" ht="12.75">
      <c r="B18" s="1"/>
    </row>
    <row r="19" spans="2:2" ht="12.75">
      <c r="B19" s="1"/>
    </row>
    <row r="20" spans="2:2" ht="12.75">
      <c r="B20" s="1"/>
    </row>
    <row r="21" spans="2:2" ht="12.75">
      <c r="B21" s="1"/>
    </row>
    <row r="22" spans="2:2" ht="12.75">
      <c r="B22" s="1"/>
    </row>
    <row r="23" spans="2:2" ht="12.75">
      <c r="B23" s="1"/>
    </row>
    <row r="24" spans="2:2" ht="12.75">
      <c r="B24" s="1"/>
    </row>
    <row r="25" spans="2:2" ht="12.75">
      <c r="B25" s="1"/>
    </row>
    <row r="26" spans="2:2" ht="12.75">
      <c r="B26" s="1"/>
    </row>
    <row r="27" spans="2:2" ht="12.75">
      <c r="B27" s="1"/>
    </row>
    <row r="28" spans="2:2" ht="12.75">
      <c r="B28" s="1"/>
    </row>
    <row r="29" spans="2:2" ht="12.75">
      <c r="B29" s="1"/>
    </row>
    <row r="30" spans="2:2" ht="12.75">
      <c r="B30" s="1"/>
    </row>
    <row r="31" spans="2:2" ht="12.75">
      <c r="B31" s="1"/>
    </row>
    <row r="32" spans="2:2" ht="12.75">
      <c r="B32" s="1"/>
    </row>
    <row r="33" spans="2:2" ht="12.75">
      <c r="B33" s="1"/>
    </row>
    <row r="34" spans="2:2" ht="12.75">
      <c r="B34" s="1"/>
    </row>
    <row r="35" spans="2:2" ht="12.75">
      <c r="B35" s="1"/>
    </row>
    <row r="36" spans="2:2" ht="12.75">
      <c r="B36" s="1"/>
    </row>
    <row r="37" spans="2:2" ht="12.75">
      <c r="B37" s="1"/>
    </row>
    <row r="38" spans="2:2" ht="12.75">
      <c r="B38" s="1"/>
    </row>
    <row r="39" spans="2:2" ht="12.75">
      <c r="B39" s="1"/>
    </row>
    <row r="40" spans="2:2" ht="12.75">
      <c r="B40" s="1"/>
    </row>
    <row r="41" spans="2:2" ht="12.75">
      <c r="B41" s="1"/>
    </row>
    <row r="42" spans="2:2" ht="12.75">
      <c r="B42" s="1"/>
    </row>
    <row r="43" spans="2:2" ht="12.75">
      <c r="B43" s="1"/>
    </row>
    <row r="44" spans="2:2" ht="12.75">
      <c r="B44" s="1"/>
    </row>
    <row r="45" spans="2:2" ht="12.75">
      <c r="B45" s="1"/>
    </row>
    <row r="46" spans="2:2" ht="12.75">
      <c r="B46" s="1"/>
    </row>
    <row r="47" spans="2:2" ht="12.75">
      <c r="B47" s="1"/>
    </row>
    <row r="48" spans="2:2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  <row r="950" spans="2:2" ht="12.75">
      <c r="B950" s="1"/>
    </row>
    <row r="951" spans="2:2" ht="12.75">
      <c r="B951" s="1"/>
    </row>
    <row r="952" spans="2:2" ht="12.75">
      <c r="B952" s="1"/>
    </row>
    <row r="953" spans="2:2" ht="12.75">
      <c r="B953" s="1"/>
    </row>
    <row r="954" spans="2:2" ht="12.75">
      <c r="B954" s="1"/>
    </row>
    <row r="955" spans="2:2" ht="12.75">
      <c r="B955" s="1"/>
    </row>
    <row r="956" spans="2:2" ht="12.75">
      <c r="B956" s="1"/>
    </row>
    <row r="957" spans="2:2" ht="12.75">
      <c r="B957" s="1"/>
    </row>
    <row r="958" spans="2:2" ht="12.75">
      <c r="B958" s="1"/>
    </row>
    <row r="959" spans="2:2" ht="12.75">
      <c r="B959" s="1"/>
    </row>
    <row r="960" spans="2:2" ht="12.75">
      <c r="B960" s="1"/>
    </row>
    <row r="961" spans="2:2" ht="12.75">
      <c r="B961" s="1"/>
    </row>
    <row r="962" spans="2:2" ht="12.75">
      <c r="B962" s="1"/>
    </row>
    <row r="963" spans="2:2" ht="12.75">
      <c r="B963" s="1"/>
    </row>
    <row r="964" spans="2:2" ht="12.75">
      <c r="B964" s="1"/>
    </row>
    <row r="965" spans="2:2" ht="12.75">
      <c r="B965" s="1"/>
    </row>
    <row r="966" spans="2:2" ht="12.75">
      <c r="B966" s="1"/>
    </row>
    <row r="967" spans="2:2" ht="12.75">
      <c r="B967" s="1"/>
    </row>
    <row r="968" spans="2:2" ht="12.75">
      <c r="B968" s="1"/>
    </row>
    <row r="969" spans="2:2" ht="12.75">
      <c r="B969" s="1"/>
    </row>
    <row r="970" spans="2:2" ht="12.75">
      <c r="B970" s="1"/>
    </row>
    <row r="971" spans="2:2" ht="12.75">
      <c r="B971" s="1"/>
    </row>
    <row r="972" spans="2:2" ht="12.75">
      <c r="B972" s="1"/>
    </row>
    <row r="973" spans="2:2" ht="12.75">
      <c r="B973" s="1"/>
    </row>
    <row r="974" spans="2:2" ht="12.75">
      <c r="B974" s="1"/>
    </row>
    <row r="975" spans="2:2" ht="12.75">
      <c r="B975" s="1"/>
    </row>
    <row r="976" spans="2:2" ht="12.75">
      <c r="B976" s="1"/>
    </row>
    <row r="977" spans="2:2" ht="12.75">
      <c r="B977" s="1"/>
    </row>
    <row r="978" spans="2:2" ht="12.75">
      <c r="B978" s="1"/>
    </row>
    <row r="979" spans="2:2" ht="12.75">
      <c r="B979" s="1"/>
    </row>
    <row r="980" spans="2:2" ht="12.75">
      <c r="B980" s="1"/>
    </row>
    <row r="981" spans="2:2" ht="12.75">
      <c r="B981" s="1"/>
    </row>
    <row r="982" spans="2:2" ht="12.75">
      <c r="B982" s="1"/>
    </row>
    <row r="983" spans="2:2" ht="12.75">
      <c r="B983" s="1"/>
    </row>
    <row r="984" spans="2:2" ht="12.75">
      <c r="B984" s="1"/>
    </row>
    <row r="985" spans="2:2" ht="12.75">
      <c r="B985" s="1"/>
    </row>
    <row r="986" spans="2:2" ht="12.75">
      <c r="B986" s="1"/>
    </row>
    <row r="987" spans="2:2" ht="12.75">
      <c r="B987" s="1"/>
    </row>
    <row r="988" spans="2:2" ht="12.75">
      <c r="B988" s="1"/>
    </row>
    <row r="989" spans="2:2" ht="12.75">
      <c r="B989" s="1"/>
    </row>
    <row r="990" spans="2:2" ht="12.75">
      <c r="B990" s="1"/>
    </row>
    <row r="991" spans="2:2" ht="12.75">
      <c r="B991" s="1"/>
    </row>
    <row r="992" spans="2:2" ht="12.75">
      <c r="B992" s="1"/>
    </row>
    <row r="993" spans="2:2" ht="12.75">
      <c r="B993" s="1"/>
    </row>
    <row r="994" spans="2:2" ht="12.75">
      <c r="B994" s="1"/>
    </row>
    <row r="995" spans="2:2" ht="12.75">
      <c r="B995" s="1"/>
    </row>
    <row r="996" spans="2:2" ht="12.75">
      <c r="B996" s="1"/>
    </row>
    <row r="997" spans="2:2" ht="12.75">
      <c r="B997" s="1"/>
    </row>
    <row r="998" spans="2:2" ht="12.75">
      <c r="B998" s="1"/>
    </row>
    <row r="999" spans="2:2" ht="12.75">
      <c r="B999" s="1"/>
    </row>
    <row r="1000" spans="2:2" ht="12.75">
      <c r="B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E3C5-6B1B-40DB-B285-38801EE8326A}">
  <dimension ref="A1:H13"/>
  <sheetViews>
    <sheetView workbookViewId="0">
      <selection activeCell="G19" sqref="G19"/>
    </sheetView>
  </sheetViews>
  <sheetFormatPr defaultColWidth="11.42578125" defaultRowHeight="12.75"/>
  <cols>
    <col min="1" max="1" width="22.42578125" bestFit="1" customWidth="1"/>
    <col min="2" max="2" width="11.28515625" bestFit="1" customWidth="1"/>
    <col min="5" max="5" width="10" customWidth="1"/>
  </cols>
  <sheetData>
    <row r="1" spans="1:8">
      <c r="A1" s="4" t="s">
        <v>32</v>
      </c>
      <c r="B1" s="3" t="s">
        <v>33</v>
      </c>
      <c r="C1" s="8"/>
      <c r="D1" s="6" t="s">
        <v>34</v>
      </c>
      <c r="E1" s="6" t="s">
        <v>35</v>
      </c>
      <c r="F1" s="6" t="s">
        <v>36</v>
      </c>
    </row>
    <row r="2" spans="1:8" ht="15" customHeight="1">
      <c r="A2" s="15" t="s">
        <v>37</v>
      </c>
      <c r="B2" s="12">
        <v>240000</v>
      </c>
      <c r="C2" s="13"/>
      <c r="D2" s="14"/>
      <c r="E2" s="14"/>
      <c r="F2" s="14">
        <f t="shared" ref="F2:F12" si="0">+B2-E2</f>
        <v>240000</v>
      </c>
    </row>
    <row r="3" spans="1:8" ht="15" customHeight="1">
      <c r="A3" s="15" t="s">
        <v>38</v>
      </c>
      <c r="B3" s="12">
        <v>2000000</v>
      </c>
      <c r="C3" s="13"/>
      <c r="D3" s="14"/>
      <c r="E3" s="14">
        <v>200000</v>
      </c>
      <c r="F3" s="14">
        <f t="shared" si="0"/>
        <v>1800000</v>
      </c>
    </row>
    <row r="4" spans="1:8" ht="15" customHeight="1">
      <c r="A4" s="2" t="s">
        <v>29</v>
      </c>
      <c r="B4" s="1">
        <f>2200000+2000000</f>
        <v>4200000</v>
      </c>
      <c r="D4" s="5"/>
      <c r="E4" s="5"/>
      <c r="F4" s="5">
        <f t="shared" si="0"/>
        <v>4200000</v>
      </c>
    </row>
    <row r="5" spans="1:8" ht="15" customHeight="1">
      <c r="A5" s="15" t="s">
        <v>39</v>
      </c>
      <c r="B5" s="12">
        <v>1000000</v>
      </c>
      <c r="C5" s="13"/>
      <c r="D5" s="14"/>
      <c r="E5" s="14"/>
      <c r="F5" s="14">
        <f t="shared" si="0"/>
        <v>1000000</v>
      </c>
    </row>
    <row r="6" spans="1:8" ht="15" customHeight="1">
      <c r="A6" s="2" t="s">
        <v>28</v>
      </c>
      <c r="B6" s="1">
        <v>500000</v>
      </c>
      <c r="D6" s="5">
        <v>125000</v>
      </c>
      <c r="E6" s="5">
        <f>125000+125000</f>
        <v>250000</v>
      </c>
      <c r="F6" s="5">
        <f t="shared" si="0"/>
        <v>250000</v>
      </c>
    </row>
    <row r="7" spans="1:8" ht="15" customHeight="1">
      <c r="A7" s="15" t="s">
        <v>40</v>
      </c>
      <c r="B7" s="12">
        <f>270000*2</f>
        <v>540000</v>
      </c>
      <c r="C7" s="13"/>
      <c r="D7" s="14">
        <v>270000</v>
      </c>
      <c r="E7" s="14">
        <v>270000</v>
      </c>
      <c r="F7" s="14">
        <f t="shared" si="0"/>
        <v>270000</v>
      </c>
    </row>
    <row r="8" spans="1:8" ht="15" customHeight="1">
      <c r="A8" s="15" t="s">
        <v>41</v>
      </c>
      <c r="B8" s="12">
        <v>355000</v>
      </c>
      <c r="C8" s="13"/>
      <c r="D8" s="14">
        <v>130000</v>
      </c>
      <c r="E8" s="14"/>
      <c r="F8" s="14">
        <f t="shared" si="0"/>
        <v>355000</v>
      </c>
    </row>
    <row r="9" spans="1:8" ht="15" customHeight="1">
      <c r="A9" s="2" t="s">
        <v>22</v>
      </c>
      <c r="B9" s="17">
        <v>38862000</v>
      </c>
      <c r="D9" s="18"/>
      <c r="E9" s="18"/>
      <c r="F9" s="18">
        <f t="shared" si="0"/>
        <v>38862000</v>
      </c>
      <c r="H9" s="17"/>
    </row>
    <row r="10" spans="1:8" ht="15" customHeight="1">
      <c r="A10" s="2" t="s">
        <v>21</v>
      </c>
      <c r="B10" s="1">
        <v>5000000</v>
      </c>
      <c r="D10" s="18"/>
      <c r="E10" s="18"/>
      <c r="F10" s="18">
        <f t="shared" si="0"/>
        <v>5000000</v>
      </c>
      <c r="H10" s="17"/>
    </row>
    <row r="11" spans="1:8" ht="15" customHeight="1">
      <c r="A11" s="2" t="s">
        <v>42</v>
      </c>
      <c r="B11" s="1">
        <f>800000+130000</f>
        <v>930000</v>
      </c>
      <c r="D11" s="5"/>
      <c r="E11" s="5"/>
      <c r="F11" s="5">
        <f t="shared" si="0"/>
        <v>930000</v>
      </c>
      <c r="G11" s="22" t="s">
        <v>43</v>
      </c>
    </row>
    <row r="12" spans="1:8" ht="15" customHeight="1">
      <c r="A12" s="2" t="s">
        <v>44</v>
      </c>
      <c r="B12" s="1">
        <v>3000000</v>
      </c>
      <c r="D12" s="5"/>
      <c r="E12" s="5"/>
      <c r="F12" s="5">
        <f t="shared" si="0"/>
        <v>3000000</v>
      </c>
      <c r="G12" s="22" t="s">
        <v>43</v>
      </c>
    </row>
    <row r="13" spans="1:8">
      <c r="B13" s="1">
        <f>SUM(B2:B12)</f>
        <v>56627000</v>
      </c>
      <c r="D13" s="5"/>
      <c r="E13" s="5"/>
      <c r="F13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E0E9-2E43-4B14-97E0-C5AA64E7F0C4}">
  <dimension ref="A1:H62"/>
  <sheetViews>
    <sheetView workbookViewId="0">
      <selection activeCell="G18" sqref="G18"/>
    </sheetView>
  </sheetViews>
  <sheetFormatPr defaultColWidth="11.42578125" defaultRowHeight="12.75"/>
  <cols>
    <col min="3" max="3" width="4.85546875" customWidth="1"/>
    <col min="5" max="5" width="18.42578125" customWidth="1"/>
  </cols>
  <sheetData>
    <row r="1" spans="1:8">
      <c r="A1">
        <v>1</v>
      </c>
      <c r="B1" s="19">
        <v>45931</v>
      </c>
      <c r="D1" s="5">
        <v>762000</v>
      </c>
    </row>
    <row r="2" spans="1:8">
      <c r="A2">
        <v>2</v>
      </c>
      <c r="B2" s="19">
        <v>45962</v>
      </c>
      <c r="D2" s="5">
        <v>762000</v>
      </c>
    </row>
    <row r="3" spans="1:8">
      <c r="A3">
        <v>3</v>
      </c>
      <c r="B3" s="19">
        <v>45992</v>
      </c>
      <c r="D3" s="5">
        <v>762000</v>
      </c>
    </row>
    <row r="4" spans="1:8">
      <c r="A4">
        <v>4</v>
      </c>
      <c r="B4" s="19">
        <v>46023</v>
      </c>
      <c r="D4" s="5">
        <v>762000</v>
      </c>
    </row>
    <row r="5" spans="1:8">
      <c r="A5">
        <v>5</v>
      </c>
      <c r="B5" s="19">
        <v>46054</v>
      </c>
      <c r="D5" s="5">
        <v>762000</v>
      </c>
    </row>
    <row r="6" spans="1:8">
      <c r="A6">
        <v>6</v>
      </c>
      <c r="B6" s="19">
        <v>46082</v>
      </c>
      <c r="D6" s="5">
        <v>762000</v>
      </c>
    </row>
    <row r="7" spans="1:8">
      <c r="A7">
        <v>7</v>
      </c>
      <c r="B7" s="19">
        <v>46113</v>
      </c>
      <c r="D7" s="5">
        <v>762000</v>
      </c>
    </row>
    <row r="8" spans="1:8">
      <c r="A8">
        <v>8</v>
      </c>
      <c r="B8" s="19">
        <v>46143</v>
      </c>
      <c r="D8" s="5">
        <v>762000</v>
      </c>
    </row>
    <row r="9" spans="1:8">
      <c r="A9">
        <v>9</v>
      </c>
      <c r="B9" s="19">
        <v>46174</v>
      </c>
      <c r="D9" s="5">
        <v>762000</v>
      </c>
    </row>
    <row r="10" spans="1:8">
      <c r="A10">
        <v>10</v>
      </c>
      <c r="B10" s="19">
        <v>46204</v>
      </c>
      <c r="C10">
        <v>1</v>
      </c>
      <c r="D10" s="5">
        <v>762000</v>
      </c>
      <c r="E10" t="s">
        <v>45</v>
      </c>
      <c r="F10" s="17">
        <v>27337887</v>
      </c>
    </row>
    <row r="11" spans="1:8">
      <c r="A11">
        <v>11</v>
      </c>
      <c r="B11" s="19">
        <v>46235</v>
      </c>
      <c r="C11">
        <v>2</v>
      </c>
      <c r="D11" s="5">
        <v>762000</v>
      </c>
      <c r="E11" t="s">
        <v>46</v>
      </c>
      <c r="F11" s="17">
        <f>SUM(D10:D60)</f>
        <v>38862000</v>
      </c>
    </row>
    <row r="12" spans="1:8">
      <c r="A12">
        <v>12</v>
      </c>
      <c r="B12" s="19">
        <v>46266</v>
      </c>
      <c r="C12">
        <v>3</v>
      </c>
      <c r="D12" s="5">
        <v>762000</v>
      </c>
      <c r="F12" s="17">
        <f>+F10-F11</f>
        <v>-11524113</v>
      </c>
      <c r="G12" s="20">
        <f>+F12/51</f>
        <v>-225963</v>
      </c>
      <c r="H12" t="s">
        <v>47</v>
      </c>
    </row>
    <row r="13" spans="1:8">
      <c r="A13">
        <v>13</v>
      </c>
      <c r="B13" s="19">
        <v>46296</v>
      </c>
      <c r="C13">
        <v>4</v>
      </c>
      <c r="D13" s="5">
        <v>762000</v>
      </c>
    </row>
    <row r="14" spans="1:8">
      <c r="A14">
        <v>14</v>
      </c>
      <c r="B14" s="19">
        <v>46327</v>
      </c>
      <c r="C14">
        <v>5</v>
      </c>
      <c r="D14" s="5">
        <v>762000</v>
      </c>
    </row>
    <row r="15" spans="1:8">
      <c r="A15">
        <v>15</v>
      </c>
      <c r="B15" s="19">
        <v>46357</v>
      </c>
      <c r="C15">
        <v>6</v>
      </c>
      <c r="D15" s="5">
        <v>762000</v>
      </c>
    </row>
    <row r="16" spans="1:8">
      <c r="A16">
        <v>16</v>
      </c>
      <c r="B16" s="19">
        <v>46388</v>
      </c>
      <c r="C16">
        <v>7</v>
      </c>
      <c r="D16" s="5">
        <v>762000</v>
      </c>
    </row>
    <row r="17" spans="1:4">
      <c r="A17">
        <v>17</v>
      </c>
      <c r="B17" s="19">
        <v>46419</v>
      </c>
      <c r="C17">
        <v>8</v>
      </c>
      <c r="D17" s="5">
        <v>762000</v>
      </c>
    </row>
    <row r="18" spans="1:4">
      <c r="A18">
        <v>18</v>
      </c>
      <c r="B18" s="19">
        <v>46447</v>
      </c>
      <c r="C18">
        <v>9</v>
      </c>
      <c r="D18" s="5">
        <v>762000</v>
      </c>
    </row>
    <row r="19" spans="1:4">
      <c r="A19">
        <v>19</v>
      </c>
      <c r="B19" s="19">
        <v>46478</v>
      </c>
      <c r="C19">
        <v>10</v>
      </c>
      <c r="D19" s="5">
        <v>762000</v>
      </c>
    </row>
    <row r="20" spans="1:4">
      <c r="A20">
        <v>20</v>
      </c>
      <c r="B20" s="19">
        <v>46508</v>
      </c>
      <c r="C20">
        <v>11</v>
      </c>
      <c r="D20" s="5">
        <v>762000</v>
      </c>
    </row>
    <row r="21" spans="1:4">
      <c r="A21">
        <v>21</v>
      </c>
      <c r="B21" s="19">
        <v>46539</v>
      </c>
      <c r="C21">
        <v>12</v>
      </c>
      <c r="D21" s="5">
        <v>762000</v>
      </c>
    </row>
    <row r="22" spans="1:4">
      <c r="A22">
        <v>22</v>
      </c>
      <c r="B22" s="19">
        <v>46569</v>
      </c>
      <c r="C22">
        <v>13</v>
      </c>
      <c r="D22" s="5">
        <v>762000</v>
      </c>
    </row>
    <row r="23" spans="1:4">
      <c r="A23">
        <v>23</v>
      </c>
      <c r="B23" s="19">
        <v>46600</v>
      </c>
      <c r="C23">
        <v>14</v>
      </c>
      <c r="D23" s="5">
        <v>762000</v>
      </c>
    </row>
    <row r="24" spans="1:4">
      <c r="A24">
        <v>24</v>
      </c>
      <c r="B24" s="19">
        <v>46631</v>
      </c>
      <c r="C24">
        <v>15</v>
      </c>
      <c r="D24" s="5">
        <v>762000</v>
      </c>
    </row>
    <row r="25" spans="1:4">
      <c r="A25">
        <v>25</v>
      </c>
      <c r="B25" s="19">
        <v>46661</v>
      </c>
      <c r="C25">
        <v>16</v>
      </c>
      <c r="D25" s="5">
        <v>762000</v>
      </c>
    </row>
    <row r="26" spans="1:4">
      <c r="A26">
        <v>26</v>
      </c>
      <c r="B26" s="19">
        <v>46692</v>
      </c>
      <c r="C26">
        <v>17</v>
      </c>
      <c r="D26" s="5">
        <v>762000</v>
      </c>
    </row>
    <row r="27" spans="1:4">
      <c r="A27">
        <v>27</v>
      </c>
      <c r="B27" s="19">
        <v>46722</v>
      </c>
      <c r="C27">
        <v>18</v>
      </c>
      <c r="D27" s="5">
        <v>762000</v>
      </c>
    </row>
    <row r="28" spans="1:4">
      <c r="A28">
        <v>28</v>
      </c>
      <c r="B28" s="19">
        <v>46753</v>
      </c>
      <c r="C28">
        <v>19</v>
      </c>
      <c r="D28" s="5">
        <v>762000</v>
      </c>
    </row>
    <row r="29" spans="1:4">
      <c r="A29">
        <v>29</v>
      </c>
      <c r="B29" s="19">
        <v>46784</v>
      </c>
      <c r="C29">
        <v>20</v>
      </c>
      <c r="D29" s="5">
        <v>762000</v>
      </c>
    </row>
    <row r="30" spans="1:4">
      <c r="A30">
        <v>30</v>
      </c>
      <c r="B30" s="19">
        <v>46813</v>
      </c>
      <c r="C30">
        <v>21</v>
      </c>
      <c r="D30" s="5">
        <v>762000</v>
      </c>
    </row>
    <row r="31" spans="1:4">
      <c r="A31">
        <v>31</v>
      </c>
      <c r="B31" s="19">
        <v>46844</v>
      </c>
      <c r="C31">
        <v>22</v>
      </c>
      <c r="D31" s="5">
        <v>762000</v>
      </c>
    </row>
    <row r="32" spans="1:4">
      <c r="A32">
        <v>32</v>
      </c>
      <c r="B32" s="19">
        <v>46874</v>
      </c>
      <c r="C32">
        <v>23</v>
      </c>
      <c r="D32" s="5">
        <v>762000</v>
      </c>
    </row>
    <row r="33" spans="1:4">
      <c r="A33">
        <v>33</v>
      </c>
      <c r="B33" s="19">
        <v>46905</v>
      </c>
      <c r="C33">
        <v>24</v>
      </c>
      <c r="D33" s="5">
        <v>762000</v>
      </c>
    </row>
    <row r="34" spans="1:4">
      <c r="A34">
        <v>34</v>
      </c>
      <c r="B34" s="19">
        <v>46935</v>
      </c>
      <c r="C34">
        <v>25</v>
      </c>
      <c r="D34" s="5">
        <v>762000</v>
      </c>
    </row>
    <row r="35" spans="1:4">
      <c r="A35">
        <v>35</v>
      </c>
      <c r="B35" s="19">
        <v>46966</v>
      </c>
      <c r="C35">
        <v>26</v>
      </c>
      <c r="D35" s="5">
        <v>762000</v>
      </c>
    </row>
    <row r="36" spans="1:4">
      <c r="A36">
        <v>36</v>
      </c>
      <c r="B36" s="19">
        <v>46997</v>
      </c>
      <c r="C36">
        <v>27</v>
      </c>
      <c r="D36" s="5">
        <v>762000</v>
      </c>
    </row>
    <row r="37" spans="1:4">
      <c r="A37">
        <v>37</v>
      </c>
      <c r="B37" s="19">
        <v>47027</v>
      </c>
      <c r="C37">
        <v>28</v>
      </c>
      <c r="D37" s="5">
        <v>762000</v>
      </c>
    </row>
    <row r="38" spans="1:4">
      <c r="A38">
        <v>38</v>
      </c>
      <c r="B38" s="19">
        <v>47058</v>
      </c>
      <c r="C38">
        <v>29</v>
      </c>
      <c r="D38" s="5">
        <v>762000</v>
      </c>
    </row>
    <row r="39" spans="1:4">
      <c r="A39">
        <v>39</v>
      </c>
      <c r="B39" s="19">
        <v>47088</v>
      </c>
      <c r="C39">
        <v>30</v>
      </c>
      <c r="D39" s="5">
        <v>762000</v>
      </c>
    </row>
    <row r="40" spans="1:4">
      <c r="A40">
        <v>40</v>
      </c>
      <c r="B40" s="19">
        <v>47119</v>
      </c>
      <c r="C40">
        <v>31</v>
      </c>
      <c r="D40" s="5">
        <v>762000</v>
      </c>
    </row>
    <row r="41" spans="1:4">
      <c r="A41">
        <v>41</v>
      </c>
      <c r="B41" s="19">
        <v>47150</v>
      </c>
      <c r="C41">
        <v>32</v>
      </c>
      <c r="D41" s="5">
        <v>762000</v>
      </c>
    </row>
    <row r="42" spans="1:4">
      <c r="A42">
        <v>42</v>
      </c>
      <c r="B42" s="19">
        <v>47178</v>
      </c>
      <c r="C42">
        <v>33</v>
      </c>
      <c r="D42" s="5">
        <v>762000</v>
      </c>
    </row>
    <row r="43" spans="1:4">
      <c r="A43">
        <v>43</v>
      </c>
      <c r="B43" s="19">
        <v>47209</v>
      </c>
      <c r="C43">
        <v>34</v>
      </c>
      <c r="D43" s="5">
        <v>762000</v>
      </c>
    </row>
    <row r="44" spans="1:4">
      <c r="A44">
        <v>44</v>
      </c>
      <c r="B44" s="19">
        <v>47239</v>
      </c>
      <c r="C44">
        <v>35</v>
      </c>
      <c r="D44" s="5">
        <v>762000</v>
      </c>
    </row>
    <row r="45" spans="1:4">
      <c r="A45">
        <v>45</v>
      </c>
      <c r="B45" s="19">
        <v>47270</v>
      </c>
      <c r="C45">
        <v>36</v>
      </c>
      <c r="D45" s="5">
        <v>762000</v>
      </c>
    </row>
    <row r="46" spans="1:4">
      <c r="A46">
        <v>46</v>
      </c>
      <c r="B46" s="19">
        <v>47300</v>
      </c>
      <c r="C46">
        <v>37</v>
      </c>
      <c r="D46" s="5">
        <v>762000</v>
      </c>
    </row>
    <row r="47" spans="1:4">
      <c r="A47">
        <v>47</v>
      </c>
      <c r="B47" s="19">
        <v>47331</v>
      </c>
      <c r="C47">
        <v>38</v>
      </c>
      <c r="D47" s="5">
        <v>762000</v>
      </c>
    </row>
    <row r="48" spans="1:4">
      <c r="A48">
        <v>48</v>
      </c>
      <c r="B48" s="19">
        <v>47362</v>
      </c>
      <c r="C48">
        <v>39</v>
      </c>
      <c r="D48" s="5">
        <v>762000</v>
      </c>
    </row>
    <row r="49" spans="1:4">
      <c r="A49">
        <v>49</v>
      </c>
      <c r="B49" s="19">
        <v>47392</v>
      </c>
      <c r="C49">
        <v>40</v>
      </c>
      <c r="D49" s="5">
        <v>762000</v>
      </c>
    </row>
    <row r="50" spans="1:4">
      <c r="A50">
        <v>50</v>
      </c>
      <c r="B50" s="19">
        <v>47423</v>
      </c>
      <c r="C50">
        <v>41</v>
      </c>
      <c r="D50" s="5">
        <v>762000</v>
      </c>
    </row>
    <row r="51" spans="1:4">
      <c r="A51">
        <v>51</v>
      </c>
      <c r="B51" s="19">
        <v>47453</v>
      </c>
      <c r="C51">
        <v>42</v>
      </c>
      <c r="D51" s="5">
        <v>762000</v>
      </c>
    </row>
    <row r="52" spans="1:4">
      <c r="A52">
        <v>52</v>
      </c>
      <c r="B52" s="19">
        <v>47484</v>
      </c>
      <c r="C52">
        <v>43</v>
      </c>
      <c r="D52" s="5">
        <v>762000</v>
      </c>
    </row>
    <row r="53" spans="1:4">
      <c r="A53">
        <v>53</v>
      </c>
      <c r="B53" s="19">
        <v>47515</v>
      </c>
      <c r="C53">
        <v>44</v>
      </c>
      <c r="D53" s="5">
        <v>762000</v>
      </c>
    </row>
    <row r="54" spans="1:4">
      <c r="A54">
        <v>54</v>
      </c>
      <c r="B54" s="19">
        <v>47543</v>
      </c>
      <c r="C54">
        <v>45</v>
      </c>
      <c r="D54" s="5">
        <v>762000</v>
      </c>
    </row>
    <row r="55" spans="1:4">
      <c r="A55">
        <v>55</v>
      </c>
      <c r="B55" s="19">
        <v>47574</v>
      </c>
      <c r="C55">
        <v>46</v>
      </c>
      <c r="D55" s="5">
        <v>762000</v>
      </c>
    </row>
    <row r="56" spans="1:4">
      <c r="A56">
        <v>56</v>
      </c>
      <c r="B56" s="19">
        <v>47604</v>
      </c>
      <c r="C56">
        <v>47</v>
      </c>
      <c r="D56" s="5">
        <v>762000</v>
      </c>
    </row>
    <row r="57" spans="1:4">
      <c r="A57">
        <v>57</v>
      </c>
      <c r="B57" s="19">
        <v>47635</v>
      </c>
      <c r="C57">
        <v>48</v>
      </c>
      <c r="D57" s="5">
        <v>762000</v>
      </c>
    </row>
    <row r="58" spans="1:4">
      <c r="A58">
        <v>58</v>
      </c>
      <c r="B58" s="19">
        <v>47665</v>
      </c>
      <c r="C58">
        <v>49</v>
      </c>
      <c r="D58" s="5">
        <v>762000</v>
      </c>
    </row>
    <row r="59" spans="1:4">
      <c r="A59">
        <v>59</v>
      </c>
      <c r="B59" s="19">
        <v>47696</v>
      </c>
      <c r="C59">
        <v>50</v>
      </c>
      <c r="D59" s="5">
        <v>762000</v>
      </c>
    </row>
    <row r="60" spans="1:4">
      <c r="A60">
        <v>60</v>
      </c>
      <c r="B60" s="19">
        <v>47727</v>
      </c>
      <c r="C60">
        <v>51</v>
      </c>
      <c r="D60" s="5">
        <v>762000</v>
      </c>
    </row>
    <row r="61" spans="1:4">
      <c r="B61" s="19"/>
    </row>
    <row r="62" spans="1:4">
      <c r="B62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EDB4-CEC3-4710-9315-E33EDA264A73}">
  <dimension ref="A1:F30"/>
  <sheetViews>
    <sheetView topLeftCell="A13" workbookViewId="0">
      <selection activeCell="F30" sqref="F30"/>
    </sheetView>
  </sheetViews>
  <sheetFormatPr defaultColWidth="11.42578125" defaultRowHeight="12.75"/>
  <cols>
    <col min="3" max="3" width="18.7109375" customWidth="1"/>
    <col min="4" max="4" width="12.85546875" bestFit="1" customWidth="1"/>
  </cols>
  <sheetData>
    <row r="1" spans="1:6">
      <c r="A1" t="s">
        <v>48</v>
      </c>
      <c r="B1">
        <v>24</v>
      </c>
      <c r="C1">
        <v>228791</v>
      </c>
      <c r="D1" s="5">
        <f>+B1*C1</f>
        <v>5490984</v>
      </c>
    </row>
    <row r="2" spans="1:6">
      <c r="A2" t="s">
        <v>49</v>
      </c>
      <c r="D2" s="5">
        <v>5009169</v>
      </c>
    </row>
    <row r="3" spans="1:6">
      <c r="D3" s="17">
        <f>+D1-D2</f>
        <v>481815</v>
      </c>
      <c r="E3" t="s">
        <v>50</v>
      </c>
    </row>
    <row r="7" spans="1:6" ht="12" customHeight="1">
      <c r="A7">
        <v>1</v>
      </c>
      <c r="B7" s="5">
        <v>229000</v>
      </c>
      <c r="C7" t="s">
        <v>51</v>
      </c>
      <c r="E7" s="5"/>
      <c r="F7" s="21"/>
    </row>
    <row r="8" spans="1:6">
      <c r="A8">
        <v>2</v>
      </c>
      <c r="B8" s="5">
        <v>229000</v>
      </c>
      <c r="C8" t="s">
        <v>51</v>
      </c>
      <c r="E8" s="5"/>
      <c r="F8" s="21"/>
    </row>
    <row r="9" spans="1:6">
      <c r="A9">
        <v>3</v>
      </c>
      <c r="B9" s="5">
        <v>229000</v>
      </c>
      <c r="C9" t="s">
        <v>51</v>
      </c>
    </row>
    <row r="10" spans="1:6">
      <c r="A10">
        <v>4</v>
      </c>
      <c r="B10" s="5">
        <v>229000</v>
      </c>
      <c r="C10" t="s">
        <v>51</v>
      </c>
    </row>
    <row r="11" spans="1:6">
      <c r="A11">
        <v>5</v>
      </c>
      <c r="B11" s="5">
        <v>229000</v>
      </c>
      <c r="C11" t="s">
        <v>51</v>
      </c>
      <c r="E11" t="s">
        <v>52</v>
      </c>
    </row>
    <row r="12" spans="1:6">
      <c r="A12">
        <v>6</v>
      </c>
      <c r="B12" s="5">
        <v>229000</v>
      </c>
      <c r="C12" t="s">
        <v>53</v>
      </c>
      <c r="D12" s="5">
        <f>SUM(B7:B12)</f>
        <v>1374000</v>
      </c>
      <c r="E12" s="5">
        <v>300000</v>
      </c>
      <c r="F12" s="17"/>
    </row>
    <row r="13" spans="1:6">
      <c r="A13">
        <v>7</v>
      </c>
      <c r="B13" s="5">
        <v>229000</v>
      </c>
      <c r="C13" s="21">
        <v>46264</v>
      </c>
      <c r="D13" s="17">
        <f>+D12+B13-E12</f>
        <v>1303000</v>
      </c>
      <c r="E13" s="5">
        <v>300000</v>
      </c>
      <c r="F13" s="17"/>
    </row>
    <row r="14" spans="1:6">
      <c r="A14">
        <v>8</v>
      </c>
      <c r="B14" s="5">
        <v>229000</v>
      </c>
      <c r="C14" s="21">
        <v>46295</v>
      </c>
      <c r="D14" s="17">
        <f t="shared" ref="D14:D30" si="0">+D13+B14-E13</f>
        <v>1232000</v>
      </c>
      <c r="E14" s="5">
        <v>300000</v>
      </c>
      <c r="F14" s="17"/>
    </row>
    <row r="15" spans="1:6">
      <c r="A15">
        <v>9</v>
      </c>
      <c r="B15" s="5">
        <v>229000</v>
      </c>
      <c r="C15" s="21">
        <v>46325</v>
      </c>
      <c r="D15" s="17">
        <f t="shared" si="0"/>
        <v>1161000</v>
      </c>
      <c r="E15" s="5">
        <v>300000</v>
      </c>
      <c r="F15" s="17"/>
    </row>
    <row r="16" spans="1:6">
      <c r="A16">
        <v>10</v>
      </c>
      <c r="B16" s="5">
        <v>229000</v>
      </c>
      <c r="C16" s="21">
        <v>46356</v>
      </c>
      <c r="D16" s="17">
        <f t="shared" si="0"/>
        <v>1090000</v>
      </c>
      <c r="E16" s="5">
        <v>300000</v>
      </c>
      <c r="F16" s="17"/>
    </row>
    <row r="17" spans="1:6">
      <c r="A17">
        <v>11</v>
      </c>
      <c r="B17" s="5">
        <v>229000</v>
      </c>
      <c r="C17" s="21">
        <v>46386</v>
      </c>
      <c r="D17" s="17">
        <f t="shared" si="0"/>
        <v>1019000</v>
      </c>
      <c r="E17" s="5">
        <v>300000</v>
      </c>
      <c r="F17" s="17"/>
    </row>
    <row r="18" spans="1:6">
      <c r="A18">
        <v>12</v>
      </c>
      <c r="B18" s="5">
        <v>229000</v>
      </c>
      <c r="C18" s="21">
        <v>46417</v>
      </c>
      <c r="D18" s="17">
        <f t="shared" si="0"/>
        <v>948000</v>
      </c>
      <c r="E18" s="5">
        <v>300000</v>
      </c>
      <c r="F18" s="17">
        <v>2027</v>
      </c>
    </row>
    <row r="19" spans="1:6">
      <c r="A19">
        <v>13</v>
      </c>
      <c r="B19" s="5">
        <v>229000</v>
      </c>
      <c r="C19" s="21">
        <v>46446</v>
      </c>
      <c r="D19" s="17">
        <f t="shared" si="0"/>
        <v>877000</v>
      </c>
      <c r="E19" s="5">
        <v>300000</v>
      </c>
      <c r="F19" s="17"/>
    </row>
    <row r="20" spans="1:6">
      <c r="A20">
        <v>14</v>
      </c>
      <c r="B20" s="5">
        <v>229000</v>
      </c>
      <c r="C20" s="21">
        <v>46476</v>
      </c>
      <c r="D20" s="17">
        <f t="shared" si="0"/>
        <v>806000</v>
      </c>
      <c r="E20" s="5">
        <v>300000</v>
      </c>
      <c r="F20" s="17"/>
    </row>
    <row r="21" spans="1:6">
      <c r="A21">
        <v>15</v>
      </c>
      <c r="B21" s="5">
        <v>229000</v>
      </c>
      <c r="C21" s="21">
        <v>46507</v>
      </c>
      <c r="D21" s="17">
        <f t="shared" si="0"/>
        <v>735000</v>
      </c>
      <c r="E21" s="5">
        <v>300000</v>
      </c>
      <c r="F21" s="17"/>
    </row>
    <row r="22" spans="1:6">
      <c r="A22">
        <v>16</v>
      </c>
      <c r="B22" s="5">
        <v>229000</v>
      </c>
      <c r="C22" s="21">
        <v>46537</v>
      </c>
      <c r="D22" s="17">
        <f t="shared" si="0"/>
        <v>664000</v>
      </c>
      <c r="E22" s="5">
        <v>300000</v>
      </c>
      <c r="F22" s="17"/>
    </row>
    <row r="23" spans="1:6">
      <c r="A23">
        <v>17</v>
      </c>
      <c r="B23" s="5">
        <v>229000</v>
      </c>
      <c r="C23" s="21">
        <v>46568</v>
      </c>
      <c r="D23" s="17">
        <f t="shared" si="0"/>
        <v>593000</v>
      </c>
      <c r="E23" s="5">
        <v>300000</v>
      </c>
      <c r="F23" s="17"/>
    </row>
    <row r="24" spans="1:6">
      <c r="A24">
        <v>18</v>
      </c>
      <c r="B24" s="5">
        <v>229000</v>
      </c>
      <c r="C24" s="21">
        <v>46598</v>
      </c>
      <c r="D24" s="17">
        <f t="shared" si="0"/>
        <v>522000</v>
      </c>
      <c r="E24" s="5">
        <v>300000</v>
      </c>
      <c r="F24" s="17"/>
    </row>
    <row r="25" spans="1:6">
      <c r="A25">
        <v>19</v>
      </c>
      <c r="B25" s="5">
        <v>229000</v>
      </c>
      <c r="C25" s="21">
        <v>46629</v>
      </c>
      <c r="D25" s="17">
        <f t="shared" si="0"/>
        <v>451000</v>
      </c>
      <c r="E25" s="5">
        <v>300000</v>
      </c>
      <c r="F25" s="17"/>
    </row>
    <row r="26" spans="1:6">
      <c r="A26">
        <v>20</v>
      </c>
      <c r="B26" s="5">
        <v>229000</v>
      </c>
      <c r="C26" s="21">
        <v>46660</v>
      </c>
      <c r="D26" s="17">
        <f t="shared" si="0"/>
        <v>380000</v>
      </c>
      <c r="E26" s="5">
        <v>300000</v>
      </c>
      <c r="F26" s="17"/>
    </row>
    <row r="27" spans="1:6">
      <c r="A27">
        <v>21</v>
      </c>
      <c r="B27" s="18">
        <v>229000</v>
      </c>
      <c r="C27" s="21">
        <v>46690</v>
      </c>
      <c r="D27" s="17">
        <f>+D26+B27-E26</f>
        <v>309000</v>
      </c>
      <c r="E27" s="18">
        <v>300000</v>
      </c>
      <c r="F27" s="17"/>
    </row>
    <row r="28" spans="1:6">
      <c r="A28">
        <v>22</v>
      </c>
      <c r="B28" s="5">
        <v>229000</v>
      </c>
      <c r="C28" s="21">
        <v>46721</v>
      </c>
      <c r="D28" s="17">
        <f t="shared" si="0"/>
        <v>238000</v>
      </c>
      <c r="E28" s="5">
        <v>300000</v>
      </c>
      <c r="F28" s="17"/>
    </row>
    <row r="29" spans="1:6">
      <c r="A29">
        <v>23</v>
      </c>
      <c r="B29" s="5">
        <v>229000</v>
      </c>
      <c r="C29" s="21">
        <v>46751</v>
      </c>
      <c r="D29" s="17">
        <f t="shared" si="0"/>
        <v>167000</v>
      </c>
      <c r="E29" s="5">
        <v>300000</v>
      </c>
      <c r="F29" s="17"/>
    </row>
    <row r="30" spans="1:6">
      <c r="A30">
        <v>24</v>
      </c>
      <c r="B30" s="5">
        <v>229000</v>
      </c>
      <c r="C30" s="21">
        <v>46782</v>
      </c>
      <c r="D30" s="17">
        <f t="shared" si="0"/>
        <v>96000</v>
      </c>
      <c r="E30" s="5">
        <v>300000</v>
      </c>
      <c r="F30" s="17">
        <v>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2026-07-15T04:09:36Z</dcterms:created>
  <dcterms:modified xsi:type="dcterms:W3CDTF">2026-07-15T04:12:11Z</dcterms:modified>
  <cp:category/>
  <cp:contentStatus/>
</cp:coreProperties>
</file>