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cad9fe548e37d5d9/OTROS DOCUMENTOS/"/>
    </mc:Choice>
  </mc:AlternateContent>
  <xr:revisionPtr revIDLastSave="59" documentId="11_926707712CC75FA2D08328CAF00C7917B02E2C01" xr6:coauthVersionLast="47" xr6:coauthVersionMax="47" xr10:uidLastSave="{FB80430A-5986-4BFE-9DFC-AA18BA3CDB37}"/>
  <bookViews>
    <workbookView xWindow="-120" yWindow="-120" windowWidth="20730" windowHeight="11040" tabRatio="823" firstSheet="1" activeTab="1" xr2:uid="{00000000-000D-0000-FFFF-FFFF00000000}"/>
  </bookViews>
  <sheets>
    <sheet name="PROYECCION PAGOS" sheetId="3" state="hidden" r:id="rId1"/>
    <sheet name="PROYECCION PAGOS Bancoya" sheetId="9" r:id="rId2"/>
    <sheet name="PROYECCION PAGOS Banco Despues" sheetId="12" state="hidden" r:id="rId3"/>
    <sheet name="PROYECCION PAGOS renuncia" sheetId="13" state="hidden" r:id="rId4"/>
    <sheet name="DISPONIBLE" sheetId="2" r:id="rId5"/>
    <sheet name="CREDITOS CONTROL" sheetId="4" r:id="rId6"/>
    <sheet name="CLARO" sheetId="10" r:id="rId7"/>
    <sheet name="BRILLA" sheetId="11" r:id="rId8"/>
    <sheet name="DAVIVIENDA" sheetId="5" r:id="rId9"/>
    <sheet name="ICETEX" sheetId="6" r:id="rId10"/>
    <sheet name="RECORDAR" sheetId="7" r:id="rId11"/>
  </sheets>
  <definedNames>
    <definedName name="_xlnm._FilterDatabase" localSheetId="5" hidden="1">'CREDITOS CONTROL'!$A$1:$G$1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9" l="1"/>
  <c r="N21" i="9"/>
  <c r="L19" i="9"/>
  <c r="K17" i="9"/>
  <c r="J17" i="9"/>
  <c r="J3" i="9"/>
  <c r="K19" i="9"/>
  <c r="L3" i="9"/>
  <c r="L17" i="9"/>
  <c r="I17" i="9"/>
  <c r="M3" i="9"/>
  <c r="K3" i="9"/>
  <c r="B10" i="4"/>
  <c r="I3" i="9"/>
  <c r="P21" i="13"/>
  <c r="O21" i="13"/>
  <c r="K17" i="13"/>
  <c r="K19" i="13"/>
  <c r="K21" i="13"/>
  <c r="L21" i="13"/>
  <c r="J23" i="13"/>
  <c r="J21" i="13"/>
  <c r="Q3" i="13"/>
  <c r="T19" i="13"/>
  <c r="M3" i="13"/>
  <c r="L3" i="13"/>
  <c r="K3" i="13"/>
  <c r="R3" i="13"/>
  <c r="R19" i="13"/>
  <c r="P3" i="13"/>
  <c r="O3" i="13"/>
  <c r="O19" i="13"/>
  <c r="N3" i="13"/>
  <c r="N19" i="13"/>
  <c r="P17" i="13"/>
  <c r="I3" i="13"/>
  <c r="J17" i="13"/>
  <c r="L17" i="13"/>
  <c r="J3" i="13"/>
  <c r="J19" i="13"/>
  <c r="B19" i="13"/>
  <c r="N17" i="13"/>
  <c r="I17" i="13"/>
  <c r="H17" i="13"/>
  <c r="G17" i="13"/>
  <c r="F17" i="13"/>
  <c r="E17" i="13"/>
  <c r="I11" i="13"/>
  <c r="D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S19" i="13"/>
  <c r="Q19" i="13"/>
  <c r="H3" i="13"/>
  <c r="G3" i="13"/>
  <c r="F3" i="13"/>
  <c r="P22" i="9"/>
  <c r="F12" i="4"/>
  <c r="Y19" i="12"/>
  <c r="W23" i="12"/>
  <c r="V23" i="12"/>
  <c r="T19" i="12"/>
  <c r="Q19" i="12"/>
  <c r="P19" i="12"/>
  <c r="I17" i="12"/>
  <c r="L17" i="12"/>
  <c r="K17" i="12"/>
  <c r="J3" i="12"/>
  <c r="I3" i="12"/>
  <c r="B19" i="12"/>
  <c r="P17" i="12"/>
  <c r="N17" i="12"/>
  <c r="J17" i="12"/>
  <c r="H17" i="12"/>
  <c r="G17" i="12"/>
  <c r="F17" i="12"/>
  <c r="E17" i="12"/>
  <c r="I11" i="12"/>
  <c r="I19" i="12"/>
  <c r="D9" i="12"/>
  <c r="AN3" i="12"/>
  <c r="AN19" i="12"/>
  <c r="AM3" i="12"/>
  <c r="AM19" i="12"/>
  <c r="AL3" i="12"/>
  <c r="AL19" i="12"/>
  <c r="AK3" i="12"/>
  <c r="AK19" i="12"/>
  <c r="AJ3" i="12"/>
  <c r="AJ19" i="12"/>
  <c r="AI3" i="12"/>
  <c r="AI19" i="12"/>
  <c r="AH3" i="12"/>
  <c r="AH19" i="12"/>
  <c r="AG3" i="12"/>
  <c r="AG19" i="12"/>
  <c r="AF3" i="12"/>
  <c r="AF19" i="12"/>
  <c r="AE3" i="12"/>
  <c r="AE19" i="12"/>
  <c r="AD3" i="12"/>
  <c r="AD19" i="12"/>
  <c r="AC3" i="12"/>
  <c r="AC19" i="12"/>
  <c r="AB3" i="12"/>
  <c r="AB19" i="12"/>
  <c r="AA3" i="12"/>
  <c r="AA19" i="12"/>
  <c r="Z3" i="12"/>
  <c r="Z19" i="12"/>
  <c r="Y3" i="12"/>
  <c r="X3" i="12"/>
  <c r="X19" i="12"/>
  <c r="W3" i="12"/>
  <c r="W19" i="12"/>
  <c r="V3" i="12"/>
  <c r="V19" i="12"/>
  <c r="U3" i="12"/>
  <c r="U19" i="12"/>
  <c r="T3" i="12"/>
  <c r="S3" i="12"/>
  <c r="S19" i="12"/>
  <c r="R3" i="12"/>
  <c r="R19" i="12"/>
  <c r="Q3" i="12"/>
  <c r="P3" i="12"/>
  <c r="O3" i="12"/>
  <c r="O19" i="12"/>
  <c r="N3" i="12"/>
  <c r="M3" i="12"/>
  <c r="M19" i="12"/>
  <c r="L3" i="12"/>
  <c r="K3" i="12"/>
  <c r="H3" i="12"/>
  <c r="H19" i="12"/>
  <c r="G3" i="12"/>
  <c r="G19" i="12"/>
  <c r="F3" i="12"/>
  <c r="F19" i="12"/>
  <c r="AN3" i="9"/>
  <c r="AM3" i="9"/>
  <c r="AM19" i="9"/>
  <c r="AL3" i="9"/>
  <c r="AL19" i="9"/>
  <c r="AK3" i="9"/>
  <c r="AK19" i="9"/>
  <c r="F25" i="5"/>
  <c r="F26" i="5"/>
  <c r="F27" i="5"/>
  <c r="F28" i="5"/>
  <c r="F29" i="5"/>
  <c r="F30" i="5"/>
  <c r="F31" i="5"/>
  <c r="F32" i="5"/>
  <c r="F33" i="5"/>
  <c r="F34" i="5"/>
  <c r="F24" i="5"/>
  <c r="AJ3" i="9"/>
  <c r="AJ19" i="9"/>
  <c r="AI3" i="9"/>
  <c r="AH3" i="9"/>
  <c r="AH19" i="9"/>
  <c r="AG3" i="9"/>
  <c r="AG19" i="9"/>
  <c r="AF3" i="9"/>
  <c r="AF19" i="9"/>
  <c r="AE3" i="9"/>
  <c r="AD3" i="9"/>
  <c r="AC3" i="9"/>
  <c r="AC19" i="9"/>
  <c r="F23" i="5"/>
  <c r="F22" i="5"/>
  <c r="F21" i="5"/>
  <c r="F20" i="5"/>
  <c r="F13" i="4"/>
  <c r="E2" i="4"/>
  <c r="AB3" i="9"/>
  <c r="AB19" i="9"/>
  <c r="AA3" i="9"/>
  <c r="AA19" i="9"/>
  <c r="Z3" i="9"/>
  <c r="Z19" i="9"/>
  <c r="Y3" i="9"/>
  <c r="Y19" i="9"/>
  <c r="X3" i="9"/>
  <c r="W3" i="9"/>
  <c r="AE19" i="9"/>
  <c r="AD19" i="9"/>
  <c r="S3" i="9"/>
  <c r="S19" i="9"/>
  <c r="V3" i="9"/>
  <c r="V19" i="9"/>
  <c r="U3" i="9"/>
  <c r="U19" i="9"/>
  <c r="T3" i="9"/>
  <c r="T19" i="9"/>
  <c r="F18" i="5"/>
  <c r="F17" i="5"/>
  <c r="F16" i="5"/>
  <c r="F15" i="5"/>
  <c r="F14" i="5"/>
  <c r="F13" i="5"/>
  <c r="F12" i="5"/>
  <c r="F19" i="5"/>
  <c r="F11" i="5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5" i="11"/>
  <c r="G4" i="11"/>
  <c r="G3" i="11"/>
  <c r="E1" i="11"/>
  <c r="D1" i="10"/>
  <c r="N17" i="9"/>
  <c r="B19" i="9"/>
  <c r="H17" i="9"/>
  <c r="G17" i="9"/>
  <c r="F17" i="9"/>
  <c r="E17" i="9"/>
  <c r="D9" i="9"/>
  <c r="R3" i="9"/>
  <c r="R19" i="9"/>
  <c r="Q3" i="9"/>
  <c r="Q19" i="9"/>
  <c r="P3" i="9"/>
  <c r="O3" i="9"/>
  <c r="N3" i="9"/>
  <c r="H3" i="9"/>
  <c r="H19" i="9"/>
  <c r="G3" i="9"/>
  <c r="G19" i="9"/>
  <c r="F3" i="9"/>
  <c r="I21" i="3"/>
  <c r="I11" i="3"/>
  <c r="I3" i="3"/>
  <c r="I19" i="3"/>
  <c r="J17" i="3"/>
  <c r="W19" i="9"/>
  <c r="O19" i="9"/>
  <c r="N19" i="9"/>
  <c r="M19" i="9"/>
  <c r="I19" i="9"/>
  <c r="F19" i="9"/>
  <c r="P19" i="9"/>
  <c r="X19" i="9"/>
  <c r="AN19" i="9"/>
  <c r="AI19" i="9"/>
  <c r="G19" i="13"/>
  <c r="P19" i="13"/>
  <c r="H19" i="13"/>
  <c r="I19" i="13"/>
  <c r="F19" i="13"/>
  <c r="N19" i="12"/>
  <c r="J19" i="12"/>
  <c r="K19" i="12"/>
  <c r="L19" i="12"/>
  <c r="P21" i="12"/>
  <c r="H3" i="3"/>
  <c r="H19" i="3"/>
  <c r="D11" i="7"/>
  <c r="D9" i="7"/>
  <c r="D7" i="7"/>
  <c r="D5" i="7"/>
  <c r="D3" i="7"/>
  <c r="D1" i="7"/>
  <c r="K19" i="3"/>
  <c r="J19" i="3"/>
  <c r="I17" i="3"/>
  <c r="H17" i="3"/>
  <c r="D13" i="6"/>
  <c r="G17" i="3"/>
  <c r="G3" i="3"/>
  <c r="D9" i="3"/>
  <c r="F9" i="4"/>
  <c r="D1" i="6"/>
  <c r="D3" i="6"/>
  <c r="B8" i="4"/>
  <c r="R3" i="3"/>
  <c r="Q3" i="3"/>
  <c r="Q19" i="3"/>
  <c r="P3" i="3"/>
  <c r="O3" i="3"/>
  <c r="L3" i="3"/>
  <c r="N3" i="3"/>
  <c r="M3" i="3"/>
  <c r="K3" i="3"/>
  <c r="J3" i="3"/>
  <c r="R17" i="3"/>
  <c r="P17" i="3"/>
  <c r="N17" i="3"/>
  <c r="L17" i="3"/>
  <c r="F17" i="3"/>
  <c r="F3" i="3"/>
  <c r="F19" i="3"/>
  <c r="F11" i="4"/>
  <c r="F10" i="4"/>
  <c r="F5" i="4"/>
  <c r="F2" i="4"/>
  <c r="F6" i="4"/>
  <c r="F8" i="4"/>
  <c r="F7" i="4"/>
  <c r="F3" i="4"/>
  <c r="B4" i="4"/>
  <c r="E17" i="3"/>
  <c r="B19" i="3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G19" i="3"/>
  <c r="P19" i="3"/>
  <c r="O19" i="3"/>
  <c r="N19" i="3"/>
  <c r="M19" i="3"/>
  <c r="L19" i="3"/>
  <c r="R19" i="3"/>
  <c r="L19" i="13"/>
  <c r="B14" i="4"/>
  <c r="F4" i="4"/>
  <c r="P23" i="12"/>
  <c r="Q21" i="12"/>
  <c r="R21" i="12"/>
  <c r="L22" i="12"/>
  <c r="S19" i="3"/>
  <c r="M19" i="13"/>
  <c r="M21" i="13"/>
  <c r="N21" i="13"/>
  <c r="R23" i="12"/>
  <c r="S21" i="12"/>
  <c r="S23" i="12"/>
  <c r="T21" i="12"/>
  <c r="T23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P23" i="12"/>
  <c r="AD23" i="12"/>
  <c r="AJ23" i="12"/>
  <c r="J19" i="9" l="1"/>
  <c r="O21" i="9"/>
  <c r="P21" i="9" s="1"/>
  <c r="P23" i="9" s="1"/>
  <c r="Q21" i="9" s="1"/>
  <c r="Q23" i="9" s="1"/>
  <c r="R21" i="9" s="1"/>
  <c r="R22" i="9" s="1"/>
  <c r="R23" i="9" s="1"/>
  <c r="S21" i="9" s="1"/>
  <c r="S23" i="9" s="1"/>
  <c r="T21" i="9" s="1"/>
  <c r="T23" i="9" s="1"/>
  <c r="U21" i="9" s="1"/>
  <c r="U23" i="9" s="1"/>
  <c r="V21" i="9" s="1"/>
  <c r="V23" i="9" s="1"/>
  <c r="W21" i="9" s="1"/>
  <c r="W23" i="9" s="1"/>
  <c r="X21" i="9" s="1"/>
  <c r="Y21" i="9" s="1"/>
  <c r="Z21" i="9" s="1"/>
  <c r="AA21" i="9" s="1"/>
  <c r="AB21" i="9" s="1"/>
  <c r="AC21" i="9" s="1"/>
  <c r="AD21" i="9" s="1"/>
  <c r="AE21" i="9" s="1"/>
  <c r="AF21" i="9" s="1"/>
  <c r="AG21" i="9" s="1"/>
  <c r="AH21" i="9" s="1"/>
  <c r="AI21" i="9" s="1"/>
  <c r="AJ21" i="9" s="1"/>
  <c r="AK21" i="9" s="1"/>
  <c r="AL21" i="9" s="1"/>
  <c r="AM21" i="9" s="1"/>
  <c r="AN21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Julibeth</author>
  </authors>
  <commentList>
    <comment ref="H3" authorId="0" shapeId="0" xr:uid="{D0D0791F-C857-4103-A97A-0FEF7D3414F1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875,000 mark
1,200,000 echavar
250,000 guardado
300,000 tc</t>
        </r>
      </text>
    </comment>
    <comment ref="A11" authorId="0" shapeId="0" xr:uid="{55B1C0A2-21C6-4366-AF69-0AD0FABF30B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30 GAS
15 AGUA
15 ENERGIA</t>
        </r>
      </text>
    </comment>
    <comment ref="H16" authorId="0" shapeId="0" xr:uid="{D3DA8EDB-1017-4B89-A199-3C639C93CE2E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Cuota 1</t>
        </r>
      </text>
    </comment>
    <comment ref="Q16" authorId="0" shapeId="0" xr:uid="{50A3A5FB-1765-4B5B-8B31-DAE04A3EE91D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Brilla cuota 2</t>
        </r>
      </text>
    </comment>
    <comment ref="F17" authorId="0" shapeId="0" xr:uid="{47CE2A58-9D2C-4B23-8E44-F906B69AE3F1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100,000 TIO JOSE
400,000 MARYI
40,000  CRED PEQ
314,000 RAYO
54,000 Sra jose agua </t>
        </r>
      </text>
    </comment>
    <comment ref="G17" authorId="0" shapeId="0" xr:uid="{031A56E0-490E-4129-9088-3F4314469EC9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103,000 RAPICREDIT 1 
270,000 RAYO FINAL
40,000 CREDITO
156,000 EPM ITAGUI</t>
        </r>
      </text>
    </comment>
    <comment ref="H17" authorId="0" shapeId="0" xr:uid="{7B4EBB82-2D39-410C-A253-F999524CFA3A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180,000 Maryi
100,000 tio jose
40,000 credito</t>
        </r>
      </text>
    </comment>
    <comment ref="I17" authorId="0" shapeId="0" xr:uid="{08574419-6FBC-4F79-BFA8-BF78C624A77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Rapicredit 2
240,000 credito
275,000 rayo + 275,000</t>
        </r>
      </text>
    </comment>
    <comment ref="J17" authorId="0" shapeId="0" xr:uid="{1225FE8F-8396-4B01-A03D-9CBBAB8B3AC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380,000 Maryi
100,000 tio jose
580,000 Solv</t>
        </r>
      </text>
    </comment>
    <comment ref="K17" authorId="0" shapeId="0" xr:uid="{FBE8F394-AC6B-4EE8-A647-0B197BC43D9C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Rapicredit 3</t>
        </r>
      </text>
    </comment>
    <comment ref="L17" authorId="0" shapeId="0" xr:uid="{DFD8C27C-E191-4C36-908F-B421BEB2687C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340,000 maryi
100,000 tio</t>
        </r>
      </text>
    </comment>
    <comment ref="N17" authorId="0" shapeId="0" xr:uid="{8A08789F-3AEB-4D6C-8598-B18F62DD6F5C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320,000 maryi
100,000 tio</t>
        </r>
      </text>
    </comment>
    <comment ref="P17" authorId="0" shapeId="0" xr:uid="{2EBD847B-ABAA-493B-8AE4-D7060A5835FB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300,000 maryi 
100,000 tio</t>
        </r>
      </text>
    </comment>
    <comment ref="R17" authorId="0" shapeId="0" xr:uid="{5187C6BE-9128-439C-8044-6612824424CB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280,000 maryi
1,100,000 tio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Julibeth</author>
    <author>HP</author>
  </authors>
  <commentList>
    <comment ref="H3" authorId="0" shapeId="0" xr:uid="{9A45F951-4458-4581-855E-1C5AA59C0807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875,000 mark
1,200,000 echavar
250,000 guardado
300,000 tc</t>
        </r>
      </text>
    </comment>
    <comment ref="J3" authorId="0" shapeId="0" xr:uid="{82519979-EE5E-4845-9EE9-E3240C035FCD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875 MARK 
1,500 ECHA
787 COMF
260 COMF
450 SOLV
290 FINAND</t>
        </r>
      </text>
    </comment>
    <comment ref="A11" authorId="0" shapeId="0" xr:uid="{55D3E1CF-A8D6-4AD8-8EF1-2C701FF03CD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30 GAS
15 AGUA
15 ENERGIA</t>
        </r>
      </text>
    </comment>
    <comment ref="K11" authorId="0" shapeId="0" xr:uid="{66B757CD-6B96-4051-B928-4B60B5AC3A6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Pendiente por recibo nuevo</t>
        </r>
      </text>
    </comment>
    <comment ref="H16" authorId="0" shapeId="0" xr:uid="{EAFDBF05-3EA6-4ECD-A2A5-474684630848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Cuota 1</t>
        </r>
      </text>
    </comment>
    <comment ref="F17" authorId="0" shapeId="0" xr:uid="{F7178C86-1849-4EB2-B87F-289BEDDDC979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100,000 TIO JOSE
400,000 MARYI
40,000  CRED PEQ
314,000 RAYO
54,000 Sra jose agua </t>
        </r>
      </text>
    </comment>
    <comment ref="G17" authorId="0" shapeId="0" xr:uid="{AB9D0246-79B0-419A-96B7-5BA477A0E39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103,000 RAPICREDIT 1 
270,000 RAYO FINAL
40,000 CREDITO
156,000 EPM ITAGUI</t>
        </r>
      </text>
    </comment>
    <comment ref="H17" authorId="0" shapeId="0" xr:uid="{05A97FD6-4195-4488-9E97-1D5C00E7B822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180,000 Maryi
100,000 tio jose
40,000 credito</t>
        </r>
      </text>
    </comment>
    <comment ref="I17" authorId="0" shapeId="0" xr:uid="{26FD2BE8-116A-4282-8D59-5A3CCB6D1534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103,000 Rapicredit 2
40,000 credito
270,000 rayo 
140,000 Luis 1
68,000 yare
80,000 joi</t>
        </r>
      </text>
    </comment>
    <comment ref="J17" authorId="0" shapeId="0" xr:uid="{C85E2739-1742-4449-98E6-4AF180A4DC0E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380,000 Maryi
100,000 tio jose
580,000 Solv
140,000 luis2
270,000 rayo
40,000 credito 
310,000 Finandina
100,000 papito pasajes</t>
        </r>
      </text>
    </comment>
    <comment ref="K17" authorId="0" shapeId="0" xr:uid="{4F66F349-8ADD-4F75-99FF-9B4B35DB7CD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Rapicredit 3 130,000
140,000 luis 3
240,000 credito
315,000 Rayo
 </t>
        </r>
      </text>
    </comment>
    <comment ref="L17" authorId="0" shapeId="0" xr:uid="{9EB606A0-80C7-4DC2-A243-4D4130335D01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360,000 maryi
100,000 tio
580,000 solv
140,000 luis 4
</t>
        </r>
      </text>
    </comment>
    <comment ref="M17" authorId="0" shapeId="0" xr:uid="{B8147E75-04B9-4AA6-96D3-579217435E95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Prestamo Tia</t>
        </r>
      </text>
    </comment>
    <comment ref="N17" authorId="0" shapeId="0" xr:uid="{6B912707-10C8-44DE-8C45-79C930E9AF42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340,000 maryi
100,000 tio</t>
        </r>
      </text>
    </comment>
    <comment ref="N22" authorId="0" shapeId="0" xr:uid="{0D7A758B-5501-41BF-8BB8-47EE2CA36E19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tio jose</t>
        </r>
      </text>
    </comment>
    <comment ref="P22" authorId="0" shapeId="0" xr:uid="{94992E42-F9C4-4FA6-AE0E-3405046524CA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Maryi</t>
        </r>
      </text>
    </comment>
    <comment ref="Q22" authorId="0" shapeId="0" xr:uid="{9013813C-878E-444D-895C-8F8003521D11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claro</t>
        </r>
      </text>
    </comment>
    <comment ref="R22" authorId="0" shapeId="0" xr:uid="{B4DCB055-044D-42A6-AD51-913E96F3598A}">
      <text>
        <r>
          <rPr>
            <b/>
            <sz val="9"/>
            <color indexed="81"/>
            <rFont val="Tahoma"/>
            <family val="2"/>
          </rPr>
          <t>Julibeth:PARA GASTO DIC</t>
        </r>
      </text>
    </comment>
    <comment ref="S22" authorId="0" shapeId="0" xr:uid="{8924712D-47A9-4927-A5E9-BA8F57F80B5D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Brilla
</t>
        </r>
      </text>
    </comment>
    <comment ref="T22" authorId="0" shapeId="0" xr:uid="{91289EE6-7024-4A95-8DB2-6E408984C4B5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Icetex</t>
        </r>
      </text>
    </comment>
    <comment ref="U22" authorId="0" shapeId="0" xr:uid="{9188A60D-11FB-41AF-B6A4-F8817BFDC05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siomara</t>
        </r>
      </text>
    </comment>
    <comment ref="W22" authorId="1" shapeId="0" xr:uid="{C7EDBB52-82AE-434B-BB03-B2AA6E8638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Pago Jeni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Julibeth</author>
  </authors>
  <commentList>
    <comment ref="H3" authorId="0" shapeId="0" xr:uid="{A86353B6-FAA8-49BD-A5E6-9DDFA7ADEBC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875,000 mark
1,200,000 echavar
250,000 guardado
300,000 tc</t>
        </r>
      </text>
    </comment>
    <comment ref="A11" authorId="0" shapeId="0" xr:uid="{FDB0F9DA-DE4C-464C-9FE4-AD0FD0A111DF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30 GAS
15 AGUA
15 ENERGIA</t>
        </r>
      </text>
    </comment>
    <comment ref="K11" authorId="0" shapeId="0" xr:uid="{052B916F-1B95-4A1A-BD4A-3FD12153B99A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Pendiente por recibo nuevo</t>
        </r>
      </text>
    </comment>
    <comment ref="M11" authorId="0" shapeId="0" xr:uid="{191A8661-2D9B-4948-9213-1AF9A2E89622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Pendiente recibo</t>
        </r>
      </text>
    </comment>
    <comment ref="O11" authorId="0" shapeId="0" xr:uid="{B036508C-384B-48C0-8B07-B9B23B84CD1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Pendiente recibo
</t>
        </r>
      </text>
    </comment>
    <comment ref="H16" authorId="0" shapeId="0" xr:uid="{599A7269-B6B9-4DED-9BD8-18659F81A8AF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Cuota 1</t>
        </r>
      </text>
    </comment>
    <comment ref="F17" authorId="0" shapeId="0" xr:uid="{B9718D05-AF6D-46FF-B47D-4396BC9A9565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100,000 TIO JOSE
400,000 MARYI
40,000  CRED PEQ
314,000 RAYO
54,000 Sra jose agua </t>
        </r>
      </text>
    </comment>
    <comment ref="G17" authorId="0" shapeId="0" xr:uid="{29D484C2-0694-42B8-855A-ED8FCEF06B99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103,000 RAPICREDIT 1 
270,000 RAYO FINAL
40,000 CREDITO
156,000 EPM ITAGUI</t>
        </r>
      </text>
    </comment>
    <comment ref="H17" authorId="0" shapeId="0" xr:uid="{1F0A1EE4-22CB-4692-B201-F508AC54EA2C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180,000 Maryi
100,000 tio jose
40,000 credito</t>
        </r>
      </text>
    </comment>
    <comment ref="I17" authorId="0" shapeId="0" xr:uid="{A1867A34-F26E-481D-ADC0-EEE9F0F48415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130,000 Rapicredit 2
40,000 credito
275,000 rayo 
140,000 Luis 1
300,000 guardar</t>
        </r>
      </text>
    </comment>
    <comment ref="J17" authorId="0" shapeId="0" xr:uid="{0C66621C-30F9-4854-8E2B-DE97DF9690C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380,000 Maryi
100,000 tio jose
580,000 Solv
140,000 luis2
275,000 rayo
240,000 credito </t>
        </r>
      </text>
    </comment>
    <comment ref="K17" authorId="0" shapeId="0" xr:uid="{3091F9D3-DEE0-4953-8528-3F17B8A9126B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Rapicredit 3 130,000
Cuota 1 del 250,000
140,000 luis 3</t>
        </r>
      </text>
    </comment>
    <comment ref="L17" authorId="0" shapeId="0" xr:uid="{C86E25A2-E938-4541-BA22-B7194C9E7AFD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360,000 maryi
100,000 tio
250,000 cuot 2
580,000 solv
140,000 luis 4</t>
        </r>
      </text>
    </comment>
    <comment ref="M17" authorId="0" shapeId="0" xr:uid="{55C7C56C-908A-4A98-80A3-4564D79463AF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580,000 SOLV</t>
        </r>
      </text>
    </comment>
    <comment ref="N17" authorId="0" shapeId="0" xr:uid="{66017409-2649-4D07-B006-3F82C5FDBEEA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340,000 maryi
100,000 tio</t>
        </r>
      </text>
    </comment>
    <comment ref="P17" authorId="0" shapeId="0" xr:uid="{688165C1-7315-47A9-88F2-4676673A341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120,000 maryi 
</t>
        </r>
      </text>
    </comment>
    <comment ref="P22" authorId="0" shapeId="0" xr:uid="{8C0FDFDE-D988-4B2C-828D-4B8D65F75A4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tio jose</t>
        </r>
      </text>
    </comment>
    <comment ref="R22" authorId="0" shapeId="0" xr:uid="{E2AAA7CC-929F-4697-B04C-B0CA17C212C9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Maryi</t>
        </r>
      </text>
    </comment>
    <comment ref="S22" authorId="0" shapeId="0" xr:uid="{F56123C8-E60B-46AD-84C7-D8D824A623D8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claro</t>
        </r>
      </text>
    </comment>
    <comment ref="T22" authorId="0" shapeId="0" xr:uid="{F58000F8-DD88-4136-959C-E5643C19B4F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Brilla
</t>
        </r>
      </text>
    </comment>
    <comment ref="V22" authorId="0" shapeId="0" xr:uid="{19582704-2F81-42EC-8BC8-D214045133BF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de Icetex</t>
        </r>
      </text>
    </comment>
    <comment ref="W22" authorId="0" shapeId="0" xr:uid="{D9DF6E4E-4D97-40DD-A701-BE3F9A246A91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Pago siomara
pago de jeni</t>
        </r>
      </text>
    </comment>
    <comment ref="AD22" authorId="0" shapeId="0" xr:uid="{DE9C6C9C-30C0-4035-8B40-BF78FDA6D9C2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Abono Davivienda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Julibeth</author>
  </authors>
  <commentList>
    <comment ref="H3" authorId="0" shapeId="0" xr:uid="{86000612-47C6-4F71-9DE3-06B10E509954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875,000 mark
1,200,000 echavar
250,000 guardado
300,000 tc</t>
        </r>
      </text>
    </comment>
    <comment ref="J3" authorId="0" shapeId="0" xr:uid="{301E3F90-F704-4C12-949E-388D12C01905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875 MARK 
1,500 ECHA
787 COMF
260 COMF
450 SOLV
400 RAYO</t>
        </r>
      </text>
    </comment>
    <comment ref="A11" authorId="0" shapeId="0" xr:uid="{F032FBE2-A528-40E0-BB63-68EB57394FE4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30 GAS
15 AGUA
15 ENERGIA</t>
        </r>
      </text>
    </comment>
    <comment ref="K11" authorId="0" shapeId="0" xr:uid="{DB5398D1-B384-4F25-98BA-2BE3F6E31A6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Pendiente por recibo nuevo</t>
        </r>
      </text>
    </comment>
    <comment ref="H16" authorId="0" shapeId="0" xr:uid="{64613800-0B5F-4BF5-83CB-F1B6C6786929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Cuota 1</t>
        </r>
      </text>
    </comment>
    <comment ref="F17" authorId="0" shapeId="0" xr:uid="{3284FF75-6690-4F71-A715-AED0BABEBACC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100,000 TIO JOSE
400,000 MARYI
40,000  CRED PEQ
314,000 RAYO
54,000 Sra jose agua </t>
        </r>
      </text>
    </comment>
    <comment ref="G17" authorId="0" shapeId="0" xr:uid="{D85A7F86-82BA-4FA7-A00A-0550DA46D022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103,000 RAPICREDIT 1 
270,000 RAYO FINAL
40,000 CREDITO
156,000 EPM ITAGUI</t>
        </r>
      </text>
    </comment>
    <comment ref="H17" authorId="0" shapeId="0" xr:uid="{FA4D9952-DB99-4FE8-8819-F9ED0F0E48FC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180,000 Maryi
100,000 tio jose
40,000 credito</t>
        </r>
      </text>
    </comment>
    <comment ref="I17" authorId="0" shapeId="0" xr:uid="{2DBDA946-E7D8-44C6-B1D3-F08A5C5792F8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130,000 Rapicredit 2
40,000 credito
315,000 rayo 
140,000 Luis 1
68,000 yare</t>
        </r>
      </text>
    </comment>
    <comment ref="J17" authorId="0" shapeId="0" xr:uid="{229E425B-0712-42F6-AA84-9478A958CD55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380,000 Maryi
100,000 tio jose
580,000 Solv
140,000 luis2
315,000 rayo
240,000 credito </t>
        </r>
      </text>
    </comment>
    <comment ref="K17" authorId="0" shapeId="0" xr:uid="{D290FA61-3DE9-4C87-B952-96D7407D2EB7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Rapicredit 3 130,000
140,000 luis 3
</t>
        </r>
      </text>
    </comment>
    <comment ref="L17" authorId="0" shapeId="0" xr:uid="{5111CF0D-BE7D-45D5-978F-C6F58143DC9C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360,000 maryi
100,000 tio
580,000 solv
140,000 luis 4
275,000 rayo2</t>
        </r>
      </text>
    </comment>
    <comment ref="M17" authorId="0" shapeId="0" xr:uid="{227E3B10-7526-49DF-AD5D-12B14155E4C4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580,000 SOLV</t>
        </r>
      </text>
    </comment>
    <comment ref="N17" authorId="0" shapeId="0" xr:uid="{94452BE9-42AF-4835-B1A0-B301A88E6C51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340,000 maryi
100,000 tio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Julibeth</author>
    <author>HP</author>
  </authors>
  <commentList>
    <comment ref="E2" authorId="0" shapeId="0" xr:uid="{83190441-59C5-4927-A630-5210554E4A12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15 JUN 125,000 PAGO
30 JUN 125,000 PAGO
15 JUL 125,000 PAGO
30 JUL 125,000 PAGO FINALIZA</t>
        </r>
      </text>
    </comment>
    <comment ref="E3" authorId="0" shapeId="0" xr:uid="{1BD84002-404E-46D7-8C12-5B0540D25B00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Finaliza el pago el 30 de Agosto</t>
        </r>
      </text>
    </comment>
    <comment ref="E4" authorId="0" shapeId="0" xr:uid="{05A98854-F4B7-47E7-9B71-50AF2709CEAB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30/06 pago 270,000
15/07 pago 270,000 finaliza</t>
        </r>
      </text>
    </comment>
    <comment ref="E5" authorId="0" shapeId="0" xr:uid="{F35FCD03-2843-481B-B0E5-459295651673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15 JUL 130,000 CUOTA 1
15 AGO 130,000 CUOTA 2
15 SEPT 130,000 CUOTA 3 FINALIZA</t>
        </r>
      </text>
    </comment>
    <comment ref="E7" authorId="0" shapeId="0" xr:uid="{A8B6EE7A-CF03-41AE-940A-B6A76CFC4F67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Abono 200,000 30/06 Saldo 1,800,000 ok
Abono 200,000 30/07 Saldo 1,600,000
Abono  200,000 30/08 Saldo 1,400,000
Abono 200,000 30/09 Saldo 1,200,000
Abono 200,000 30/10 Saldo 1,000,000
Abono 200,000 30/11 Saldo 800,000
Abono 200,000 30/12 Saldo 600,000
Abono 200,000 30/01 Saldo 400,000
Abono 200,000 30/02 Saldo 200,000
Abono 200,000 30/03 Saldo 0</t>
        </r>
      </text>
    </comment>
    <comment ref="E8" authorId="0" shapeId="0" xr:uid="{E0264C4F-49B9-4027-AF69-1541844CD4E7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Credito 12 Cuota 200,000             credito 24 Cuota 100,000
15/08 cuota 1  2026
15/09 cuota 2                              15/09 Cuota 1 2026
15/10 cuota 3                              15/10 Cuota 2
15/11 cuota 4                              15/11 Cuota 3
15/12 cuota 5                              15/12 Cuota 4
15/01 cuota 6                              15/01 Cuota 5 2027
15/02 cuota 7                              15/02 Cuota 6
15/03 cuota 8                              15/03 Cuota 7
15/04 cuota 9                              15/04 Cuota 8
15/05 cuota 10                             15/05 Cuota 9
15/06 cuota 11                             15/06 Cuota 10
15/07 cuota 12                             15/07 Cuota 11
                                                  15/08 Cuota 12
                                                  15/09 Cuota 13
                                                  15/10 Cuota 14
                                                  15/11 Cuota 15
                                                  15/12 Cuota 16
                                                  15/01  Cuota 17 2028
                                                  15/02 Cuota 18
                                                  15/03 Cuota 19
                                                  15/04 Cuota 20
                                                  15/05 Cuota 21
                                                  15/06 Cuota 22
                                                  15/07 Cuota 23
                                                  15/08 Cuota 24</t>
        </r>
      </text>
    </comment>
    <comment ref="B10" authorId="1" shapeId="0" xr:uid="{3B335078-9ADC-4799-9D34-9E0FDF151B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800,000 hace años
130,000 pasaje abuela
400,000 arriendo 15 ago</t>
        </r>
      </text>
    </comment>
    <comment ref="E13" authorId="0" shapeId="0" xr:uid="{E7358BCC-216C-429A-8980-12B70D2A254A}">
      <text>
        <r>
          <rPr>
            <b/>
            <sz val="9"/>
            <color indexed="81"/>
            <rFont val="Tahoma"/>
            <family val="2"/>
          </rPr>
          <t>Julibeth:</t>
        </r>
        <r>
          <rPr>
            <sz val="9"/>
            <color indexed="81"/>
            <rFont val="Tahoma"/>
            <family val="2"/>
          </rPr>
          <t xml:space="preserve">
60 Cuotas de 762,000 = 45,720,000
Inicia   Octubre de 2025
Finaliza Septiembre de 2030</t>
        </r>
      </text>
    </comment>
  </commentList>
</comments>
</file>

<file path=xl/sharedStrings.xml><?xml version="1.0" encoding="utf-8"?>
<sst xmlns="http://schemas.openxmlformats.org/spreadsheetml/2006/main" count="202" uniqueCount="82">
  <si>
    <t>15 junio</t>
  </si>
  <si>
    <t>30 junio</t>
  </si>
  <si>
    <t>15 julio</t>
  </si>
  <si>
    <t>30 julio</t>
  </si>
  <si>
    <t>15 agosto</t>
  </si>
  <si>
    <t>30 agosto</t>
  </si>
  <si>
    <t>15 Septiem</t>
  </si>
  <si>
    <t>30 Septiem</t>
  </si>
  <si>
    <t>15 Oct</t>
  </si>
  <si>
    <t>30 Oct</t>
  </si>
  <si>
    <t>15 Nov</t>
  </si>
  <si>
    <t>30 Nov</t>
  </si>
  <si>
    <t>15 Dic</t>
  </si>
  <si>
    <t>30 Dic</t>
  </si>
  <si>
    <t>INGRESO</t>
  </si>
  <si>
    <t>PAGOS MENSUALES</t>
  </si>
  <si>
    <t>PAGOS  PTES</t>
  </si>
  <si>
    <t>TIGO CASA 30</t>
  </si>
  <si>
    <t>CLARO 15 OSCAR</t>
  </si>
  <si>
    <t>CELU CUOTAS</t>
  </si>
  <si>
    <t>RECORDAR</t>
  </si>
  <si>
    <t>ICETEX</t>
  </si>
  <si>
    <t>DAVIVIENDA</t>
  </si>
  <si>
    <t xml:space="preserve">SERVICIOS </t>
  </si>
  <si>
    <t>ARRIENDO</t>
  </si>
  <si>
    <t>PTE</t>
  </si>
  <si>
    <t>MERCADO</t>
  </si>
  <si>
    <t>TARJETA PAPI</t>
  </si>
  <si>
    <t>YULEIDYS</t>
  </si>
  <si>
    <t>BRILLA</t>
  </si>
  <si>
    <t>OTROS PAGO</t>
  </si>
  <si>
    <t>SARA</t>
  </si>
  <si>
    <t>CREDITOS ACTUALES</t>
  </si>
  <si>
    <t>TOTAL</t>
  </si>
  <si>
    <t>MENSUAL</t>
  </si>
  <si>
    <t>CONTROL PAGADO</t>
  </si>
  <si>
    <t>SALDO</t>
  </si>
  <si>
    <t>CREDITO</t>
  </si>
  <si>
    <t>MARYI</t>
  </si>
  <si>
    <t>TIO JOSE</t>
  </si>
  <si>
    <t>RAYO</t>
  </si>
  <si>
    <t>RAPICREDIT</t>
  </si>
  <si>
    <t>SIOMARA 1 PRESTAMO</t>
  </si>
  <si>
    <t>JENI PRESTAMO</t>
  </si>
  <si>
    <t>Saldo total a pagar</t>
  </si>
  <si>
    <t>CUOTAS PACTADAS</t>
  </si>
  <si>
    <t>SALDO TOTAL</t>
  </si>
  <si>
    <t>Intereses</t>
  </si>
  <si>
    <t>Vencido</t>
  </si>
  <si>
    <t>Abonos</t>
  </si>
  <si>
    <t>Pague hasta 30 ago</t>
  </si>
  <si>
    <t>NOS VAMOS</t>
  </si>
  <si>
    <t>CLARO</t>
  </si>
  <si>
    <t>24 CUOTAS</t>
  </si>
  <si>
    <t>JULIO</t>
  </si>
  <si>
    <t>JUNIO</t>
  </si>
  <si>
    <t>MAYO</t>
  </si>
  <si>
    <t>ABRIL</t>
  </si>
  <si>
    <t>MARZO</t>
  </si>
  <si>
    <t>FEBRERO</t>
  </si>
  <si>
    <t>ENERO</t>
  </si>
  <si>
    <t>DICIEMBRE</t>
  </si>
  <si>
    <t>NOVIEMBRE</t>
  </si>
  <si>
    <t>AGOSTO</t>
  </si>
  <si>
    <t>SEPTIEMBRE</t>
  </si>
  <si>
    <t>OCTUBRE</t>
  </si>
  <si>
    <t xml:space="preserve">Pagamos claro </t>
  </si>
  <si>
    <t>CUOTAS 12 DE 200000</t>
  </si>
  <si>
    <t>24 CUOTAS DE 100</t>
  </si>
  <si>
    <t>15 ene</t>
  </si>
  <si>
    <t>Pagamos todo el saldo</t>
  </si>
  <si>
    <t>Pagamos saldo</t>
  </si>
  <si>
    <t>Abono de 10 mill</t>
  </si>
  <si>
    <t>Abono de 10 Mill</t>
  </si>
  <si>
    <t>TERMINA</t>
  </si>
  <si>
    <t>Prestamo Oficina</t>
  </si>
  <si>
    <t>Para antena</t>
  </si>
  <si>
    <t>ANDRES DIAN</t>
  </si>
  <si>
    <t>Nos devolveriamos</t>
  </si>
  <si>
    <t>INTERNET DE CASA</t>
  </si>
  <si>
    <t>AHORRO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</si>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</sst>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4">
    <xf numFmtId="0" fontId="0" fillId="0" borderId="0" xfId="0"/>
    <xf numFmtId="3" fontId="1" fillId="0" borderId="0" xfId="0" applyNumberFormat="1" applyFont="1"/>
    <xf numFmtId="0" fontId="1" fillId="0" borderId="0" xfId="0" applyFont="1"/>
    <xf numFmtId="3" fontId="2" fillId="0" borderId="0" xfId="0" applyNumberFormat="1" applyFont="1"/>
    <xf numFmtId="0" fontId="2" fillId="0" borderId="0" xfId="0" applyFont="1"/>
    <xf numFmtId="164" fontId="0" fillId="0" borderId="0" xfId="1" applyNumberFormat="1" applyFont="1"/>
    <xf numFmtId="164" fontId="4" fillId="0" borderId="0" xfId="1" applyNumberFormat="1" applyFont="1"/>
    <xf numFmtId="164" fontId="4" fillId="2" borderId="0" xfId="1" applyNumberFormat="1" applyFont="1" applyFill="1"/>
    <xf numFmtId="0" fontId="4" fillId="0" borderId="0" xfId="0" applyFont="1"/>
    <xf numFmtId="164" fontId="1" fillId="0" borderId="0" xfId="1" applyNumberFormat="1" applyFont="1"/>
    <xf numFmtId="49" fontId="4" fillId="0" borderId="0" xfId="1" applyNumberFormat="1" applyFont="1"/>
    <xf numFmtId="49" fontId="0" fillId="0" borderId="0" xfId="0" applyNumberFormat="1"/>
    <xf numFmtId="164" fontId="4" fillId="0" borderId="0" xfId="1" applyNumberFormat="1" applyFont="1" applyFill="1"/>
    <xf numFmtId="164" fontId="0" fillId="0" borderId="0" xfId="0" applyNumberFormat="1"/>
    <xf numFmtId="164" fontId="0" fillId="0" borderId="0" xfId="1" applyNumberFormat="1" applyFont="1" applyFill="1"/>
    <xf numFmtId="17" fontId="0" fillId="0" borderId="0" xfId="0" applyNumberFormat="1"/>
    <xf numFmtId="43" fontId="0" fillId="0" borderId="0" xfId="1" applyFont="1"/>
    <xf numFmtId="16" fontId="0" fillId="0" borderId="0" xfId="0" applyNumberFormat="1"/>
    <xf numFmtId="0" fontId="3" fillId="0" borderId="0" xfId="0" applyFont="1"/>
    <xf numFmtId="3" fontId="0" fillId="0" borderId="0" xfId="0" applyNumberFormat="1"/>
    <xf numFmtId="164" fontId="3" fillId="3" borderId="0" xfId="1" applyNumberFormat="1" applyFont="1" applyFill="1"/>
    <xf numFmtId="164" fontId="3" fillId="0" borderId="0" xfId="1" applyNumberFormat="1" applyFont="1"/>
    <xf numFmtId="164" fontId="0" fillId="2" borderId="0" xfId="1" applyNumberFormat="1" applyFont="1" applyFill="1"/>
    <xf numFmtId="16" fontId="3" fillId="0" borderId="0" xfId="0" applyNumberFormat="1" applyFont="1"/>
    <xf numFmtId="164" fontId="0" fillId="3" borderId="0" xfId="1" applyNumberFormat="1" applyFont="1" applyFill="1"/>
    <xf numFmtId="164" fontId="4" fillId="4" borderId="0" xfId="1" applyNumberFormat="1" applyFont="1" applyFill="1"/>
    <xf numFmtId="49" fontId="4" fillId="4" borderId="0" xfId="1" applyNumberFormat="1" applyFont="1" applyFill="1"/>
    <xf numFmtId="164" fontId="0" fillId="4" borderId="0" xfId="1" applyNumberFormat="1" applyFont="1" applyFill="1"/>
    <xf numFmtId="164" fontId="3" fillId="0" borderId="0" xfId="1" applyNumberFormat="1" applyFont="1" applyFill="1"/>
    <xf numFmtId="0" fontId="0" fillId="2" borderId="0" xfId="0" applyFill="1"/>
    <xf numFmtId="17" fontId="0" fillId="2" borderId="0" xfId="0" applyNumberFormat="1" applyFill="1"/>
    <xf numFmtId="0" fontId="3" fillId="2" borderId="0" xfId="0" applyFont="1" applyFill="1"/>
    <xf numFmtId="0" fontId="0" fillId="3" borderId="0" xfId="0" applyFill="1"/>
    <xf numFmtId="0" fontId="3" fillId="3" borderId="0" xfId="0" applyFont="1" applyFill="1"/>
    <xf numFmtId="164" fontId="0" fillId="3" borderId="0" xfId="0" applyNumberFormat="1" applyFill="1"/>
    <xf numFmtId="14" fontId="0" fillId="0" borderId="0" xfId="0" applyNumberFormat="1"/>
    <xf numFmtId="49" fontId="3" fillId="0" borderId="0" xfId="0" applyNumberFormat="1" applyFont="1"/>
    <xf numFmtId="14" fontId="0" fillId="3" borderId="0" xfId="0" applyNumberFormat="1" applyFill="1"/>
    <xf numFmtId="16" fontId="0" fillId="3" borderId="0" xfId="0" applyNumberFormat="1" applyFill="1"/>
    <xf numFmtId="14" fontId="3" fillId="0" borderId="0" xfId="0" applyNumberFormat="1" applyFont="1"/>
    <xf numFmtId="0" fontId="1" fillId="2" borderId="0" xfId="0" applyFont="1" applyFill="1"/>
    <xf numFmtId="3" fontId="1" fillId="2" borderId="0" xfId="0" applyNumberFormat="1" applyFont="1" applyFill="1"/>
    <xf numFmtId="14" fontId="3" fillId="2" borderId="0" xfId="0" applyNumberFormat="1" applyFont="1" applyFill="1"/>
    <xf numFmtId="164" fontId="2" fillId="0" borderId="0" xfId="1" applyNumberFormat="1" applyFont="1"/>
    <xf numFmtId="17" fontId="0" fillId="3" borderId="0" xfId="0" applyNumberFormat="1" applyFill="1"/>
    <xf numFmtId="164" fontId="1" fillId="0" borderId="0" xfId="0" applyNumberFormat="1" applyFont="1"/>
    <xf numFmtId="164" fontId="0" fillId="5" borderId="0" xfId="1" applyNumberFormat="1" applyFont="1" applyFill="1"/>
    <xf numFmtId="164" fontId="4" fillId="5" borderId="0" xfId="1" applyNumberFormat="1" applyFont="1" applyFill="1"/>
    <xf numFmtId="0" fontId="0" fillId="5" borderId="0" xfId="0" applyFill="1"/>
    <xf numFmtId="164" fontId="0" fillId="5" borderId="0" xfId="0" applyNumberFormat="1" applyFill="1"/>
    <xf numFmtId="49" fontId="4" fillId="0" borderId="0" xfId="0" applyNumberFormat="1" applyFont="1"/>
    <xf numFmtId="16" fontId="4" fillId="0" borderId="0" xfId="0" applyNumberFormat="1" applyFont="1"/>
    <xf numFmtId="16" fontId="4" fillId="5" borderId="0" xfId="0" applyNumberFormat="1" applyFont="1" applyFill="1"/>
    <xf numFmtId="14" fontId="3" fillId="0" borderId="0" xfId="1" applyNumberFormat="1" applyFont="1"/>
  </cellXfs>
  <cellStyles count="2">
    <cellStyle name="Millares" xfId="1" builtinId="3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PROYECCION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AF19-53D3-4230-A1A9-348A9B4E06ED}">
  <sheetPr>
    <outlinePr summaryBelow="0" summaryRight="0"/>
  </sheetPr>
  <dimension ref="A1:S991"/>
  <sheetViews>
    <sheetView workbookViewId="0">
      <selection activeCell="I21" sqref="I21"/>
    </sheetView>
  </sheetViews>
  <sheetFormatPr baseColWidth="10" defaultColWidth="12.5703125" defaultRowHeight="12.75" x14ac:dyDescent="0.2"/>
  <cols>
    <col min="1" max="1" width="21.5703125" customWidth="1"/>
    <col min="3" max="3" width="4.28515625" customWidth="1"/>
    <col min="4" max="4" width="14.85546875" style="5" customWidth="1"/>
    <col min="5" max="8" width="13" style="5" hidden="1" customWidth="1"/>
    <col min="9" max="10" width="13" style="5" bestFit="1" customWidth="1"/>
  </cols>
  <sheetData>
    <row r="1" spans="1:19" x14ac:dyDescent="0.2">
      <c r="B1" s="1"/>
    </row>
    <row r="2" spans="1:19" ht="15" customHeight="1" x14ac:dyDescent="0.2">
      <c r="B2" s="1"/>
      <c r="E2" s="5" t="s">
        <v>0</v>
      </c>
      <c r="F2" s="6" t="s">
        <v>1</v>
      </c>
      <c r="G2" s="6" t="s">
        <v>2</v>
      </c>
      <c r="H2" s="6" t="s">
        <v>3</v>
      </c>
      <c r="I2" s="6" t="s">
        <v>4</v>
      </c>
      <c r="J2" s="6" t="s">
        <v>5</v>
      </c>
      <c r="K2" s="10" t="s">
        <v>6</v>
      </c>
      <c r="L2" s="10" t="s">
        <v>7</v>
      </c>
      <c r="M2" s="10" t="s">
        <v>8</v>
      </c>
      <c r="N2" s="10" t="s">
        <v>9</v>
      </c>
      <c r="O2" s="10" t="s">
        <v>10</v>
      </c>
      <c r="P2" s="10" t="s">
        <v>11</v>
      </c>
      <c r="Q2" s="10" t="s">
        <v>12</v>
      </c>
      <c r="R2" s="10" t="s">
        <v>13</v>
      </c>
      <c r="S2" s="11"/>
    </row>
    <row r="3" spans="1:19" ht="16.5" customHeight="1" x14ac:dyDescent="0.2">
      <c r="B3" s="1"/>
      <c r="D3" s="5" t="s">
        <v>14</v>
      </c>
      <c r="E3" s="5">
        <v>1300000</v>
      </c>
      <c r="F3" s="5">
        <f>875000+875000</f>
        <v>1750000</v>
      </c>
      <c r="G3" s="21">
        <f>875000+1041000+200000</f>
        <v>2116000</v>
      </c>
      <c r="H3" s="5">
        <f>875000+1200000+100000+300000</f>
        <v>2475000</v>
      </c>
      <c r="I3" s="5">
        <f>875000+1500000</f>
        <v>2375000</v>
      </c>
      <c r="J3" s="5">
        <f>875000+1500000+787000+260000</f>
        <v>3422000</v>
      </c>
      <c r="K3" s="5">
        <f>875000+1500000</f>
        <v>2375000</v>
      </c>
      <c r="L3" s="5">
        <f>875000+1500000+525000</f>
        <v>2900000</v>
      </c>
      <c r="M3" s="5">
        <f>875000+1500000</f>
        <v>2375000</v>
      </c>
      <c r="N3" s="5">
        <f>875000+1500000+260000</f>
        <v>2635000</v>
      </c>
      <c r="O3" s="5">
        <f>875000+1500000</f>
        <v>2375000</v>
      </c>
      <c r="P3" s="5">
        <f>875000+1500000</f>
        <v>2375000</v>
      </c>
      <c r="Q3" s="5">
        <f>875000+1500000</f>
        <v>2375000</v>
      </c>
      <c r="R3" s="5">
        <f>875000+1500000+1500000</f>
        <v>3875000</v>
      </c>
    </row>
    <row r="4" spans="1:19" ht="15" customHeight="1" x14ac:dyDescent="0.2">
      <c r="A4" s="2" t="s">
        <v>15</v>
      </c>
      <c r="B4" s="1"/>
      <c r="D4" s="5" t="s">
        <v>16</v>
      </c>
      <c r="K4" s="5"/>
      <c r="L4" s="5"/>
      <c r="M4" s="5"/>
      <c r="N4" s="5"/>
      <c r="O4" s="5"/>
      <c r="P4" s="5"/>
      <c r="Q4" s="5"/>
      <c r="R4" s="5"/>
    </row>
    <row r="5" spans="1:19" ht="15" customHeight="1" x14ac:dyDescent="0.2">
      <c r="A5" s="2" t="s">
        <v>17</v>
      </c>
      <c r="B5" s="1">
        <v>90000</v>
      </c>
      <c r="E5" s="5">
        <v>90000</v>
      </c>
      <c r="F5" s="5">
        <v>90000</v>
      </c>
      <c r="I5" s="5">
        <v>90000</v>
      </c>
      <c r="J5" s="5">
        <v>90000</v>
      </c>
      <c r="K5" s="5"/>
      <c r="L5" s="5">
        <v>90000</v>
      </c>
      <c r="M5" s="5"/>
      <c r="N5" s="5">
        <v>90000</v>
      </c>
      <c r="O5" s="5"/>
      <c r="P5" s="5">
        <v>90000</v>
      </c>
      <c r="Q5" s="5"/>
      <c r="R5" s="5">
        <v>90000</v>
      </c>
    </row>
    <row r="6" spans="1:19" ht="15" customHeight="1" x14ac:dyDescent="0.2">
      <c r="A6" s="2" t="s">
        <v>18</v>
      </c>
      <c r="B6" s="1">
        <v>40000</v>
      </c>
      <c r="E6" s="5">
        <v>40000</v>
      </c>
      <c r="G6" s="22">
        <v>40000</v>
      </c>
      <c r="I6" s="5">
        <v>40000</v>
      </c>
      <c r="K6" s="5">
        <v>40000</v>
      </c>
      <c r="L6" s="5"/>
      <c r="M6" s="5">
        <v>40000</v>
      </c>
      <c r="N6" s="5"/>
      <c r="O6" s="5">
        <v>40000</v>
      </c>
      <c r="P6" s="5"/>
      <c r="Q6" s="5">
        <v>40000</v>
      </c>
      <c r="R6" s="5"/>
    </row>
    <row r="7" spans="1:19" ht="15" customHeight="1" x14ac:dyDescent="0.2">
      <c r="A7" s="2" t="s">
        <v>19</v>
      </c>
      <c r="B7" s="1">
        <v>142000</v>
      </c>
      <c r="E7" s="5">
        <v>142000</v>
      </c>
      <c r="G7" s="22">
        <v>142000</v>
      </c>
      <c r="I7" s="5">
        <v>142000</v>
      </c>
      <c r="K7" s="5">
        <v>142000</v>
      </c>
      <c r="L7" s="5"/>
      <c r="M7" s="5">
        <v>142000</v>
      </c>
      <c r="N7" s="5"/>
      <c r="O7" s="5">
        <v>142000</v>
      </c>
      <c r="P7" s="5"/>
      <c r="Q7" s="5">
        <v>142000</v>
      </c>
      <c r="R7" s="5"/>
    </row>
    <row r="8" spans="1:19" ht="15" customHeight="1" x14ac:dyDescent="0.2">
      <c r="A8" s="2" t="s">
        <v>20</v>
      </c>
      <c r="B8" s="1">
        <v>45000</v>
      </c>
      <c r="D8" s="5">
        <v>343600</v>
      </c>
      <c r="J8" s="5">
        <v>94600</v>
      </c>
      <c r="K8" s="5">
        <v>97800</v>
      </c>
      <c r="L8" s="5">
        <v>97800</v>
      </c>
      <c r="M8" s="5">
        <v>97800</v>
      </c>
      <c r="N8" s="5">
        <v>97800</v>
      </c>
      <c r="O8" s="5">
        <v>97800</v>
      </c>
      <c r="P8" s="5">
        <v>45000</v>
      </c>
      <c r="Q8" s="5"/>
      <c r="R8" s="5">
        <v>45000</v>
      </c>
    </row>
    <row r="9" spans="1:19" ht="15" customHeight="1" x14ac:dyDescent="0.2">
      <c r="A9" s="2" t="s">
        <v>21</v>
      </c>
      <c r="B9" s="1">
        <v>230000</v>
      </c>
      <c r="D9" s="5">
        <f>1396000+229000</f>
        <v>1625000</v>
      </c>
      <c r="J9" s="5">
        <v>300000</v>
      </c>
      <c r="K9" s="5"/>
      <c r="L9" s="5">
        <v>300000</v>
      </c>
      <c r="M9" s="5"/>
      <c r="N9" s="5">
        <v>300000</v>
      </c>
      <c r="O9" s="5"/>
      <c r="P9" s="5">
        <v>300000</v>
      </c>
      <c r="Q9" s="5"/>
      <c r="R9" s="5">
        <v>300000</v>
      </c>
    </row>
    <row r="10" spans="1:19" ht="15" customHeight="1" x14ac:dyDescent="0.2">
      <c r="A10" s="2" t="s">
        <v>22</v>
      </c>
      <c r="B10" s="1">
        <v>760000</v>
      </c>
      <c r="H10" s="22">
        <v>760000</v>
      </c>
      <c r="J10" s="5">
        <v>760000</v>
      </c>
      <c r="K10" s="5"/>
      <c r="L10" s="5">
        <v>760000</v>
      </c>
      <c r="M10" s="5"/>
      <c r="N10" s="5">
        <v>760000</v>
      </c>
      <c r="O10" s="5"/>
      <c r="P10" s="5">
        <v>760000</v>
      </c>
      <c r="Q10" s="5"/>
      <c r="R10" s="5">
        <v>760000</v>
      </c>
    </row>
    <row r="11" spans="1:19" ht="15" customHeight="1" x14ac:dyDescent="0.2">
      <c r="A11" s="2" t="s">
        <v>23</v>
      </c>
      <c r="B11" s="1"/>
      <c r="E11" s="5">
        <v>180000</v>
      </c>
      <c r="F11" s="5">
        <v>63000</v>
      </c>
      <c r="G11" s="5">
        <v>15000</v>
      </c>
      <c r="I11" s="5">
        <f>650000+50000</f>
        <v>700000</v>
      </c>
      <c r="J11" s="5">
        <v>20000</v>
      </c>
      <c r="K11" s="5"/>
      <c r="L11" s="5">
        <v>250000</v>
      </c>
      <c r="M11" s="5"/>
      <c r="N11" s="5">
        <v>250000</v>
      </c>
      <c r="O11" s="5"/>
      <c r="P11" s="5">
        <v>250000</v>
      </c>
      <c r="Q11" s="5"/>
      <c r="R11" s="5">
        <v>250000</v>
      </c>
    </row>
    <row r="12" spans="1:19" ht="15" customHeight="1" x14ac:dyDescent="0.2">
      <c r="A12" s="2" t="s">
        <v>24</v>
      </c>
      <c r="B12" s="1"/>
      <c r="G12" s="20" t="s">
        <v>25</v>
      </c>
      <c r="I12" s="5">
        <v>400000</v>
      </c>
      <c r="K12" s="5">
        <v>400000</v>
      </c>
      <c r="L12" s="5"/>
      <c r="M12" s="5">
        <v>400000</v>
      </c>
      <c r="N12" s="5"/>
      <c r="O12" s="5">
        <v>400000</v>
      </c>
      <c r="P12" s="5"/>
      <c r="Q12" s="5">
        <v>400000</v>
      </c>
      <c r="R12" s="5"/>
    </row>
    <row r="13" spans="1:19" ht="15" customHeight="1" x14ac:dyDescent="0.2">
      <c r="A13" s="2" t="s">
        <v>26</v>
      </c>
      <c r="B13" s="1">
        <v>250000</v>
      </c>
      <c r="E13" s="5">
        <v>250000</v>
      </c>
      <c r="F13" s="5">
        <v>250000</v>
      </c>
      <c r="G13" s="22">
        <v>400000</v>
      </c>
      <c r="H13" s="22">
        <v>250000</v>
      </c>
      <c r="I13" s="5">
        <v>450000</v>
      </c>
      <c r="J13" s="5">
        <v>250000</v>
      </c>
      <c r="K13" s="5">
        <v>450000</v>
      </c>
      <c r="L13" s="5">
        <v>250000</v>
      </c>
      <c r="M13" s="5">
        <v>450000</v>
      </c>
      <c r="N13" s="5">
        <v>250000</v>
      </c>
      <c r="O13" s="5">
        <v>450000</v>
      </c>
      <c r="P13" s="5">
        <v>250000</v>
      </c>
      <c r="Q13" s="5">
        <v>450000</v>
      </c>
      <c r="R13" s="5">
        <v>250000</v>
      </c>
    </row>
    <row r="14" spans="1:19" ht="15" customHeight="1" x14ac:dyDescent="0.2">
      <c r="A14" s="2" t="s">
        <v>27</v>
      </c>
      <c r="B14" s="1">
        <v>30000</v>
      </c>
      <c r="E14" s="5">
        <v>50000</v>
      </c>
      <c r="G14" s="22">
        <v>50000</v>
      </c>
      <c r="I14" s="5">
        <v>50000</v>
      </c>
      <c r="K14" s="5">
        <v>50000</v>
      </c>
      <c r="L14" s="5"/>
      <c r="M14" s="5">
        <v>50000</v>
      </c>
      <c r="N14" s="5"/>
      <c r="O14" s="5">
        <v>50000</v>
      </c>
      <c r="P14" s="5"/>
      <c r="Q14" s="5">
        <v>50000</v>
      </c>
      <c r="R14" s="5"/>
    </row>
    <row r="15" spans="1:19" ht="15" customHeight="1" x14ac:dyDescent="0.2">
      <c r="A15" s="2" t="s">
        <v>28</v>
      </c>
      <c r="B15" s="3"/>
      <c r="E15" s="5">
        <v>125000</v>
      </c>
      <c r="F15" s="5">
        <v>125000</v>
      </c>
      <c r="G15" s="22">
        <v>125000</v>
      </c>
      <c r="H15" s="5">
        <v>125000</v>
      </c>
      <c r="K15" s="5"/>
      <c r="L15" s="5"/>
      <c r="M15" s="5"/>
      <c r="N15" s="5"/>
      <c r="O15" s="5"/>
      <c r="P15" s="5"/>
      <c r="Q15" s="5"/>
      <c r="R15" s="5"/>
    </row>
    <row r="16" spans="1:19" ht="15" customHeight="1" x14ac:dyDescent="0.2">
      <c r="A16" s="2" t="s">
        <v>29</v>
      </c>
      <c r="B16" s="1"/>
      <c r="H16" s="22">
        <v>275000</v>
      </c>
      <c r="J16" s="5">
        <v>330000</v>
      </c>
      <c r="K16" s="5">
        <v>330000</v>
      </c>
      <c r="L16" s="5"/>
      <c r="M16" s="5">
        <v>330000</v>
      </c>
      <c r="N16" s="5"/>
      <c r="O16" s="5">
        <v>330000</v>
      </c>
      <c r="P16" s="5"/>
      <c r="Q16" s="5">
        <v>330000</v>
      </c>
      <c r="R16" s="5"/>
    </row>
    <row r="17" spans="1:19" ht="15" customHeight="1" x14ac:dyDescent="0.2">
      <c r="A17" s="2" t="s">
        <v>30</v>
      </c>
      <c r="B17" s="3"/>
      <c r="E17" s="5">
        <f>40000</f>
        <v>40000</v>
      </c>
      <c r="F17" s="5">
        <f>100000+400000+40000+314000+54000</f>
        <v>908000</v>
      </c>
      <c r="G17" s="5">
        <f>103000+314000+40000+160000</f>
        <v>617000</v>
      </c>
      <c r="H17" s="22">
        <f>180000+100000+40000</f>
        <v>320000</v>
      </c>
      <c r="I17" s="5">
        <f>130000+240000+315000+275000</f>
        <v>960000</v>
      </c>
      <c r="J17" s="5">
        <f>380000+100000+580000</f>
        <v>1060000</v>
      </c>
      <c r="K17" s="5">
        <v>130000</v>
      </c>
      <c r="L17" s="5">
        <f>340000+100000</f>
        <v>440000</v>
      </c>
      <c r="M17" s="5"/>
      <c r="N17" s="5">
        <f>320000+100000</f>
        <v>420000</v>
      </c>
      <c r="O17" s="5"/>
      <c r="P17" s="5">
        <f>300000+100000</f>
        <v>400000</v>
      </c>
      <c r="Q17" s="5"/>
      <c r="R17" s="5">
        <f>280000+1100000</f>
        <v>1380000</v>
      </c>
    </row>
    <row r="18" spans="1:19" ht="15" customHeight="1" x14ac:dyDescent="0.2">
      <c r="A18" s="2" t="s">
        <v>31</v>
      </c>
      <c r="B18" s="3"/>
      <c r="G18" s="22">
        <v>250000</v>
      </c>
      <c r="H18" s="22">
        <v>470000</v>
      </c>
      <c r="J18" s="5">
        <v>500000</v>
      </c>
      <c r="K18" s="5">
        <v>250000</v>
      </c>
      <c r="L18" s="5">
        <v>250000</v>
      </c>
      <c r="M18" s="5">
        <v>250000</v>
      </c>
      <c r="N18" s="5">
        <v>250000</v>
      </c>
      <c r="O18" s="5">
        <v>250000</v>
      </c>
      <c r="P18" s="5">
        <v>250000</v>
      </c>
      <c r="Q18" s="5">
        <v>250000</v>
      </c>
      <c r="R18" s="5">
        <v>250000</v>
      </c>
    </row>
    <row r="19" spans="1:19" ht="13.5" customHeight="1" x14ac:dyDescent="0.2">
      <c r="B19" s="3">
        <f>SUM(B5:B16)</f>
        <v>1587000</v>
      </c>
      <c r="D19" s="6">
        <v>1882600</v>
      </c>
      <c r="E19" s="7">
        <v>361000</v>
      </c>
      <c r="F19" s="6">
        <f>+F3-SUM(F4:F17)</f>
        <v>314000</v>
      </c>
      <c r="G19" s="12">
        <f t="shared" ref="G19:R19" si="0">+G3-SUM(G4:G18)</f>
        <v>477000</v>
      </c>
      <c r="H19" s="12">
        <f>+H3-SUM(H4:H18)</f>
        <v>275000</v>
      </c>
      <c r="I19" s="12">
        <f>+I3-SUM(I4:I18)</f>
        <v>-457000</v>
      </c>
      <c r="J19" s="12">
        <f>+J3-SUM(J4:J18)</f>
        <v>17400</v>
      </c>
      <c r="K19" s="12">
        <f>+K3-SUM(K4:K18)</f>
        <v>485200</v>
      </c>
      <c r="L19" s="12">
        <f t="shared" si="0"/>
        <v>462200</v>
      </c>
      <c r="M19" s="12">
        <f t="shared" si="0"/>
        <v>615200</v>
      </c>
      <c r="N19" s="12">
        <f t="shared" si="0"/>
        <v>217200</v>
      </c>
      <c r="O19" s="12">
        <f t="shared" si="0"/>
        <v>615200</v>
      </c>
      <c r="P19" s="12">
        <f t="shared" si="0"/>
        <v>30000</v>
      </c>
      <c r="Q19" s="12">
        <f t="shared" si="0"/>
        <v>713000</v>
      </c>
      <c r="R19" s="12">
        <f t="shared" si="0"/>
        <v>550000</v>
      </c>
      <c r="S19" s="13">
        <f>SUM(G19:R19)</f>
        <v>4000400</v>
      </c>
    </row>
    <row r="20" spans="1:19" x14ac:dyDescent="0.2">
      <c r="B20" s="1"/>
    </row>
    <row r="21" spans="1:19" x14ac:dyDescent="0.2">
      <c r="A21" s="2"/>
      <c r="B21" s="1"/>
      <c r="I21" s="5">
        <f>1000000+500000</f>
        <v>1500000</v>
      </c>
    </row>
    <row r="22" spans="1:19" x14ac:dyDescent="0.2">
      <c r="A22" s="2"/>
      <c r="B22" s="1"/>
    </row>
    <row r="23" spans="1:19" x14ac:dyDescent="0.2">
      <c r="B23" s="19"/>
      <c r="D23" s="21"/>
    </row>
    <row r="24" spans="1:19" x14ac:dyDescent="0.2">
      <c r="A24" s="18"/>
      <c r="B24" s="19"/>
      <c r="D24" s="21"/>
    </row>
    <row r="25" spans="1:19" x14ac:dyDescent="0.2">
      <c r="A25" s="18"/>
      <c r="B25" s="1"/>
      <c r="H25" s="6"/>
      <c r="I25" s="6"/>
    </row>
    <row r="26" spans="1:19" x14ac:dyDescent="0.2">
      <c r="B26" s="19"/>
    </row>
    <row r="34" spans="2:2" x14ac:dyDescent="0.2">
      <c r="B34" s="1"/>
    </row>
    <row r="35" spans="2:2" x14ac:dyDescent="0.2">
      <c r="B35" s="1"/>
    </row>
    <row r="36" spans="2:2" x14ac:dyDescent="0.2">
      <c r="B36" s="1"/>
    </row>
    <row r="37" spans="2:2" x14ac:dyDescent="0.2">
      <c r="B37" s="1"/>
    </row>
    <row r="38" spans="2:2" x14ac:dyDescent="0.2">
      <c r="B38" s="1"/>
    </row>
    <row r="39" spans="2:2" x14ac:dyDescent="0.2">
      <c r="B39" s="1"/>
    </row>
    <row r="40" spans="2:2" x14ac:dyDescent="0.2">
      <c r="B40" s="1"/>
    </row>
    <row r="41" spans="2:2" x14ac:dyDescent="0.2">
      <c r="B41" s="1"/>
    </row>
    <row r="42" spans="2:2" x14ac:dyDescent="0.2">
      <c r="B42" s="1"/>
    </row>
    <row r="43" spans="2:2" x14ac:dyDescent="0.2">
      <c r="B43" s="1"/>
    </row>
    <row r="44" spans="2:2" x14ac:dyDescent="0.2">
      <c r="B44" s="1"/>
    </row>
    <row r="45" spans="2:2" x14ac:dyDescent="0.2">
      <c r="B45" s="1"/>
    </row>
    <row r="46" spans="2:2" x14ac:dyDescent="0.2">
      <c r="B46" s="1"/>
    </row>
    <row r="47" spans="2:2" x14ac:dyDescent="0.2">
      <c r="B47" s="1"/>
    </row>
    <row r="48" spans="2:2" x14ac:dyDescent="0.2">
      <c r="B48" s="1"/>
    </row>
    <row r="49" spans="2:2" x14ac:dyDescent="0.2">
      <c r="B49" s="1"/>
    </row>
    <row r="50" spans="2:2" x14ac:dyDescent="0.2">
      <c r="B50" s="1"/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  <row r="58" spans="2:2" x14ac:dyDescent="0.2">
      <c r="B58" s="1"/>
    </row>
    <row r="59" spans="2:2" x14ac:dyDescent="0.2">
      <c r="B59" s="1"/>
    </row>
    <row r="60" spans="2:2" x14ac:dyDescent="0.2">
      <c r="B60" s="1"/>
    </row>
    <row r="61" spans="2:2" x14ac:dyDescent="0.2">
      <c r="B61" s="1"/>
    </row>
    <row r="62" spans="2:2" x14ac:dyDescent="0.2">
      <c r="B62" s="1"/>
    </row>
    <row r="63" spans="2:2" x14ac:dyDescent="0.2">
      <c r="B63" s="1"/>
    </row>
    <row r="64" spans="2:2" x14ac:dyDescent="0.2">
      <c r="B64" s="1"/>
    </row>
    <row r="65" spans="2:2" x14ac:dyDescent="0.2">
      <c r="B65" s="1"/>
    </row>
    <row r="66" spans="2:2" x14ac:dyDescent="0.2">
      <c r="B66" s="1"/>
    </row>
    <row r="67" spans="2:2" x14ac:dyDescent="0.2">
      <c r="B67" s="1"/>
    </row>
    <row r="68" spans="2:2" x14ac:dyDescent="0.2">
      <c r="B68" s="1"/>
    </row>
    <row r="69" spans="2:2" x14ac:dyDescent="0.2">
      <c r="B69" s="1"/>
    </row>
    <row r="70" spans="2:2" x14ac:dyDescent="0.2">
      <c r="B70" s="1"/>
    </row>
    <row r="71" spans="2:2" x14ac:dyDescent="0.2">
      <c r="B71" s="1"/>
    </row>
    <row r="72" spans="2:2" x14ac:dyDescent="0.2">
      <c r="B72" s="1"/>
    </row>
    <row r="73" spans="2:2" x14ac:dyDescent="0.2">
      <c r="B73" s="1"/>
    </row>
    <row r="74" spans="2:2" x14ac:dyDescent="0.2">
      <c r="B74" s="1"/>
    </row>
    <row r="75" spans="2:2" x14ac:dyDescent="0.2">
      <c r="B75" s="1"/>
    </row>
    <row r="76" spans="2:2" x14ac:dyDescent="0.2">
      <c r="B76" s="1"/>
    </row>
    <row r="77" spans="2:2" x14ac:dyDescent="0.2">
      <c r="B77" s="1"/>
    </row>
    <row r="78" spans="2:2" x14ac:dyDescent="0.2">
      <c r="B78" s="1"/>
    </row>
    <row r="79" spans="2:2" x14ac:dyDescent="0.2">
      <c r="B79" s="1"/>
    </row>
    <row r="80" spans="2:2" x14ac:dyDescent="0.2">
      <c r="B80" s="1"/>
    </row>
    <row r="81" spans="2:2" x14ac:dyDescent="0.2">
      <c r="B81" s="1"/>
    </row>
    <row r="82" spans="2:2" x14ac:dyDescent="0.2">
      <c r="B82" s="1"/>
    </row>
    <row r="83" spans="2:2" x14ac:dyDescent="0.2">
      <c r="B83" s="1"/>
    </row>
    <row r="84" spans="2:2" x14ac:dyDescent="0.2">
      <c r="B84" s="1"/>
    </row>
    <row r="85" spans="2:2" x14ac:dyDescent="0.2">
      <c r="B85" s="1"/>
    </row>
    <row r="86" spans="2:2" x14ac:dyDescent="0.2">
      <c r="B86" s="1"/>
    </row>
    <row r="87" spans="2:2" x14ac:dyDescent="0.2">
      <c r="B87" s="1"/>
    </row>
    <row r="88" spans="2:2" x14ac:dyDescent="0.2">
      <c r="B88" s="1"/>
    </row>
    <row r="89" spans="2:2" x14ac:dyDescent="0.2">
      <c r="B89" s="1"/>
    </row>
    <row r="90" spans="2:2" x14ac:dyDescent="0.2">
      <c r="B90" s="1"/>
    </row>
    <row r="91" spans="2:2" x14ac:dyDescent="0.2">
      <c r="B91" s="1"/>
    </row>
    <row r="92" spans="2:2" x14ac:dyDescent="0.2">
      <c r="B92" s="1"/>
    </row>
    <row r="93" spans="2:2" x14ac:dyDescent="0.2">
      <c r="B93" s="1"/>
    </row>
    <row r="94" spans="2:2" x14ac:dyDescent="0.2">
      <c r="B94" s="1"/>
    </row>
    <row r="95" spans="2:2" x14ac:dyDescent="0.2">
      <c r="B95" s="1"/>
    </row>
    <row r="96" spans="2:2" x14ac:dyDescent="0.2">
      <c r="B96" s="1"/>
    </row>
    <row r="97" spans="2:2" x14ac:dyDescent="0.2">
      <c r="B97" s="1"/>
    </row>
    <row r="98" spans="2:2" x14ac:dyDescent="0.2">
      <c r="B98" s="1"/>
    </row>
    <row r="99" spans="2:2" x14ac:dyDescent="0.2">
      <c r="B99" s="1"/>
    </row>
    <row r="100" spans="2:2" x14ac:dyDescent="0.2">
      <c r="B100" s="1"/>
    </row>
    <row r="101" spans="2:2" x14ac:dyDescent="0.2">
      <c r="B101" s="1"/>
    </row>
    <row r="102" spans="2:2" x14ac:dyDescent="0.2">
      <c r="B102" s="1"/>
    </row>
    <row r="103" spans="2:2" x14ac:dyDescent="0.2">
      <c r="B103" s="1"/>
    </row>
    <row r="104" spans="2:2" x14ac:dyDescent="0.2">
      <c r="B104" s="1"/>
    </row>
    <row r="105" spans="2:2" x14ac:dyDescent="0.2">
      <c r="B105" s="1"/>
    </row>
    <row r="106" spans="2:2" x14ac:dyDescent="0.2">
      <c r="B106" s="1"/>
    </row>
    <row r="107" spans="2:2" x14ac:dyDescent="0.2">
      <c r="B107" s="1"/>
    </row>
    <row r="108" spans="2:2" x14ac:dyDescent="0.2">
      <c r="B108" s="1"/>
    </row>
    <row r="109" spans="2:2" x14ac:dyDescent="0.2">
      <c r="B109" s="1"/>
    </row>
    <row r="110" spans="2:2" x14ac:dyDescent="0.2">
      <c r="B110" s="1"/>
    </row>
    <row r="111" spans="2:2" x14ac:dyDescent="0.2">
      <c r="B111" s="1"/>
    </row>
    <row r="112" spans="2:2" x14ac:dyDescent="0.2">
      <c r="B112" s="1"/>
    </row>
    <row r="113" spans="2:2" x14ac:dyDescent="0.2">
      <c r="B113" s="1"/>
    </row>
    <row r="114" spans="2:2" x14ac:dyDescent="0.2">
      <c r="B114" s="1"/>
    </row>
    <row r="115" spans="2:2" x14ac:dyDescent="0.2">
      <c r="B115" s="1"/>
    </row>
    <row r="116" spans="2:2" x14ac:dyDescent="0.2">
      <c r="B116" s="1"/>
    </row>
    <row r="117" spans="2:2" x14ac:dyDescent="0.2">
      <c r="B117" s="1"/>
    </row>
    <row r="118" spans="2:2" x14ac:dyDescent="0.2">
      <c r="B118" s="1"/>
    </row>
    <row r="119" spans="2:2" x14ac:dyDescent="0.2">
      <c r="B119" s="1"/>
    </row>
    <row r="120" spans="2:2" x14ac:dyDescent="0.2">
      <c r="B120" s="1"/>
    </row>
    <row r="121" spans="2:2" x14ac:dyDescent="0.2">
      <c r="B121" s="1"/>
    </row>
    <row r="122" spans="2:2" x14ac:dyDescent="0.2">
      <c r="B122" s="1"/>
    </row>
    <row r="123" spans="2:2" x14ac:dyDescent="0.2">
      <c r="B123" s="1"/>
    </row>
    <row r="124" spans="2:2" x14ac:dyDescent="0.2">
      <c r="B124" s="1"/>
    </row>
    <row r="125" spans="2:2" x14ac:dyDescent="0.2">
      <c r="B125" s="1"/>
    </row>
    <row r="126" spans="2:2" x14ac:dyDescent="0.2">
      <c r="B126" s="1"/>
    </row>
    <row r="127" spans="2:2" x14ac:dyDescent="0.2">
      <c r="B127" s="1"/>
    </row>
    <row r="128" spans="2:2" x14ac:dyDescent="0.2">
      <c r="B128" s="1"/>
    </row>
    <row r="129" spans="2:2" x14ac:dyDescent="0.2">
      <c r="B129" s="1"/>
    </row>
    <row r="130" spans="2:2" x14ac:dyDescent="0.2">
      <c r="B130" s="1"/>
    </row>
    <row r="131" spans="2:2" x14ac:dyDescent="0.2">
      <c r="B131" s="1"/>
    </row>
    <row r="132" spans="2:2" x14ac:dyDescent="0.2">
      <c r="B132" s="1"/>
    </row>
    <row r="133" spans="2:2" x14ac:dyDescent="0.2">
      <c r="B133" s="1"/>
    </row>
    <row r="134" spans="2:2" x14ac:dyDescent="0.2">
      <c r="B134" s="1"/>
    </row>
    <row r="135" spans="2:2" x14ac:dyDescent="0.2">
      <c r="B135" s="1"/>
    </row>
    <row r="136" spans="2:2" x14ac:dyDescent="0.2">
      <c r="B136" s="1"/>
    </row>
    <row r="137" spans="2:2" x14ac:dyDescent="0.2">
      <c r="B137" s="1"/>
    </row>
    <row r="138" spans="2:2" x14ac:dyDescent="0.2">
      <c r="B138" s="1"/>
    </row>
    <row r="139" spans="2:2" x14ac:dyDescent="0.2">
      <c r="B139" s="1"/>
    </row>
    <row r="140" spans="2:2" x14ac:dyDescent="0.2">
      <c r="B140" s="1"/>
    </row>
    <row r="141" spans="2:2" x14ac:dyDescent="0.2">
      <c r="B141" s="1"/>
    </row>
    <row r="142" spans="2:2" x14ac:dyDescent="0.2">
      <c r="B142" s="1"/>
    </row>
    <row r="143" spans="2:2" x14ac:dyDescent="0.2">
      <c r="B143" s="1"/>
    </row>
    <row r="144" spans="2:2" x14ac:dyDescent="0.2">
      <c r="B144" s="1"/>
    </row>
    <row r="145" spans="2:2" x14ac:dyDescent="0.2">
      <c r="B145" s="1"/>
    </row>
    <row r="146" spans="2:2" x14ac:dyDescent="0.2">
      <c r="B146" s="1"/>
    </row>
    <row r="147" spans="2:2" x14ac:dyDescent="0.2">
      <c r="B147" s="1"/>
    </row>
    <row r="148" spans="2:2" x14ac:dyDescent="0.2">
      <c r="B148" s="1"/>
    </row>
    <row r="149" spans="2:2" x14ac:dyDescent="0.2">
      <c r="B149" s="1"/>
    </row>
    <row r="150" spans="2:2" x14ac:dyDescent="0.2">
      <c r="B150" s="1"/>
    </row>
    <row r="151" spans="2:2" x14ac:dyDescent="0.2">
      <c r="B151" s="1"/>
    </row>
    <row r="152" spans="2:2" x14ac:dyDescent="0.2">
      <c r="B152" s="1"/>
    </row>
    <row r="153" spans="2:2" x14ac:dyDescent="0.2">
      <c r="B153" s="1"/>
    </row>
    <row r="154" spans="2:2" x14ac:dyDescent="0.2">
      <c r="B154" s="1"/>
    </row>
    <row r="155" spans="2:2" x14ac:dyDescent="0.2">
      <c r="B155" s="1"/>
    </row>
    <row r="156" spans="2:2" x14ac:dyDescent="0.2">
      <c r="B156" s="1"/>
    </row>
    <row r="157" spans="2:2" x14ac:dyDescent="0.2">
      <c r="B157" s="1"/>
    </row>
    <row r="158" spans="2:2" x14ac:dyDescent="0.2">
      <c r="B158" s="1"/>
    </row>
    <row r="159" spans="2:2" x14ac:dyDescent="0.2">
      <c r="B159" s="1"/>
    </row>
    <row r="160" spans="2:2" x14ac:dyDescent="0.2">
      <c r="B160" s="1"/>
    </row>
    <row r="161" spans="2:2" x14ac:dyDescent="0.2">
      <c r="B161" s="1"/>
    </row>
    <row r="162" spans="2:2" x14ac:dyDescent="0.2">
      <c r="B162" s="1"/>
    </row>
    <row r="163" spans="2:2" x14ac:dyDescent="0.2">
      <c r="B163" s="1"/>
    </row>
    <row r="164" spans="2:2" x14ac:dyDescent="0.2">
      <c r="B164" s="1"/>
    </row>
    <row r="165" spans="2:2" x14ac:dyDescent="0.2">
      <c r="B165" s="1"/>
    </row>
    <row r="166" spans="2:2" x14ac:dyDescent="0.2">
      <c r="B166" s="1"/>
    </row>
    <row r="167" spans="2:2" x14ac:dyDescent="0.2">
      <c r="B167" s="1"/>
    </row>
    <row r="168" spans="2:2" x14ac:dyDescent="0.2">
      <c r="B168" s="1"/>
    </row>
    <row r="169" spans="2:2" x14ac:dyDescent="0.2">
      <c r="B169" s="1"/>
    </row>
    <row r="170" spans="2:2" x14ac:dyDescent="0.2">
      <c r="B170" s="1"/>
    </row>
    <row r="171" spans="2:2" x14ac:dyDescent="0.2">
      <c r="B171" s="1"/>
    </row>
    <row r="172" spans="2:2" x14ac:dyDescent="0.2">
      <c r="B172" s="1"/>
    </row>
    <row r="173" spans="2:2" x14ac:dyDescent="0.2">
      <c r="B173" s="1"/>
    </row>
    <row r="174" spans="2:2" x14ac:dyDescent="0.2">
      <c r="B174" s="1"/>
    </row>
    <row r="175" spans="2:2" x14ac:dyDescent="0.2">
      <c r="B175" s="1"/>
    </row>
    <row r="176" spans="2:2" x14ac:dyDescent="0.2">
      <c r="B176" s="1"/>
    </row>
    <row r="177" spans="2:2" x14ac:dyDescent="0.2">
      <c r="B177" s="1"/>
    </row>
    <row r="178" spans="2:2" x14ac:dyDescent="0.2">
      <c r="B178" s="1"/>
    </row>
    <row r="179" spans="2:2" x14ac:dyDescent="0.2">
      <c r="B179" s="1"/>
    </row>
    <row r="180" spans="2:2" x14ac:dyDescent="0.2">
      <c r="B180" s="1"/>
    </row>
    <row r="181" spans="2:2" x14ac:dyDescent="0.2">
      <c r="B181" s="1"/>
    </row>
    <row r="182" spans="2:2" x14ac:dyDescent="0.2">
      <c r="B182" s="1"/>
    </row>
    <row r="183" spans="2:2" x14ac:dyDescent="0.2">
      <c r="B183" s="1"/>
    </row>
    <row r="184" spans="2:2" x14ac:dyDescent="0.2">
      <c r="B184" s="1"/>
    </row>
    <row r="185" spans="2:2" x14ac:dyDescent="0.2">
      <c r="B185" s="1"/>
    </row>
    <row r="186" spans="2:2" x14ac:dyDescent="0.2">
      <c r="B186" s="1"/>
    </row>
    <row r="187" spans="2:2" x14ac:dyDescent="0.2">
      <c r="B187" s="1"/>
    </row>
    <row r="188" spans="2:2" x14ac:dyDescent="0.2">
      <c r="B188" s="1"/>
    </row>
    <row r="189" spans="2:2" x14ac:dyDescent="0.2">
      <c r="B189" s="1"/>
    </row>
    <row r="190" spans="2:2" x14ac:dyDescent="0.2">
      <c r="B190" s="1"/>
    </row>
    <row r="191" spans="2:2" x14ac:dyDescent="0.2">
      <c r="B191" s="1"/>
    </row>
    <row r="192" spans="2:2" x14ac:dyDescent="0.2">
      <c r="B192" s="1"/>
    </row>
    <row r="193" spans="2:2" x14ac:dyDescent="0.2">
      <c r="B193" s="1"/>
    </row>
    <row r="194" spans="2:2" x14ac:dyDescent="0.2">
      <c r="B194" s="1"/>
    </row>
    <row r="195" spans="2:2" x14ac:dyDescent="0.2">
      <c r="B195" s="1"/>
    </row>
    <row r="196" spans="2:2" x14ac:dyDescent="0.2">
      <c r="B196" s="1"/>
    </row>
    <row r="197" spans="2:2" x14ac:dyDescent="0.2">
      <c r="B197" s="1"/>
    </row>
    <row r="198" spans="2:2" x14ac:dyDescent="0.2">
      <c r="B198" s="1"/>
    </row>
    <row r="199" spans="2:2" x14ac:dyDescent="0.2">
      <c r="B199" s="1"/>
    </row>
    <row r="200" spans="2:2" x14ac:dyDescent="0.2">
      <c r="B200" s="1"/>
    </row>
    <row r="201" spans="2:2" x14ac:dyDescent="0.2">
      <c r="B201" s="1"/>
    </row>
    <row r="202" spans="2:2" x14ac:dyDescent="0.2">
      <c r="B202" s="1"/>
    </row>
    <row r="203" spans="2:2" x14ac:dyDescent="0.2">
      <c r="B203" s="1"/>
    </row>
    <row r="204" spans="2:2" x14ac:dyDescent="0.2">
      <c r="B204" s="1"/>
    </row>
    <row r="205" spans="2:2" x14ac:dyDescent="0.2">
      <c r="B205" s="1"/>
    </row>
    <row r="206" spans="2:2" x14ac:dyDescent="0.2">
      <c r="B206" s="1"/>
    </row>
    <row r="207" spans="2:2" x14ac:dyDescent="0.2">
      <c r="B207" s="1"/>
    </row>
    <row r="208" spans="2:2" x14ac:dyDescent="0.2">
      <c r="B208" s="1"/>
    </row>
    <row r="209" spans="2:2" x14ac:dyDescent="0.2">
      <c r="B209" s="1"/>
    </row>
    <row r="210" spans="2:2" x14ac:dyDescent="0.2">
      <c r="B210" s="1"/>
    </row>
    <row r="211" spans="2:2" x14ac:dyDescent="0.2">
      <c r="B211" s="1"/>
    </row>
    <row r="212" spans="2:2" x14ac:dyDescent="0.2">
      <c r="B212" s="1"/>
    </row>
    <row r="213" spans="2:2" x14ac:dyDescent="0.2">
      <c r="B213" s="1"/>
    </row>
    <row r="214" spans="2:2" x14ac:dyDescent="0.2">
      <c r="B214" s="1"/>
    </row>
    <row r="215" spans="2:2" x14ac:dyDescent="0.2">
      <c r="B215" s="1"/>
    </row>
    <row r="216" spans="2:2" x14ac:dyDescent="0.2">
      <c r="B216" s="1"/>
    </row>
    <row r="217" spans="2:2" x14ac:dyDescent="0.2">
      <c r="B217" s="1"/>
    </row>
    <row r="218" spans="2:2" x14ac:dyDescent="0.2">
      <c r="B218" s="1"/>
    </row>
    <row r="219" spans="2:2" x14ac:dyDescent="0.2">
      <c r="B219" s="1"/>
    </row>
    <row r="220" spans="2:2" x14ac:dyDescent="0.2">
      <c r="B220" s="1"/>
    </row>
    <row r="221" spans="2:2" x14ac:dyDescent="0.2">
      <c r="B221" s="1"/>
    </row>
    <row r="222" spans="2:2" x14ac:dyDescent="0.2">
      <c r="B222" s="1"/>
    </row>
    <row r="223" spans="2:2" x14ac:dyDescent="0.2">
      <c r="B223" s="1"/>
    </row>
    <row r="224" spans="2:2" x14ac:dyDescent="0.2">
      <c r="B224" s="1"/>
    </row>
    <row r="225" spans="2:2" x14ac:dyDescent="0.2">
      <c r="B225" s="1"/>
    </row>
    <row r="226" spans="2:2" x14ac:dyDescent="0.2">
      <c r="B226" s="1"/>
    </row>
    <row r="227" spans="2:2" x14ac:dyDescent="0.2">
      <c r="B227" s="1"/>
    </row>
    <row r="228" spans="2:2" x14ac:dyDescent="0.2">
      <c r="B228" s="1"/>
    </row>
    <row r="229" spans="2:2" x14ac:dyDescent="0.2">
      <c r="B229" s="1"/>
    </row>
    <row r="230" spans="2:2" x14ac:dyDescent="0.2">
      <c r="B230" s="1"/>
    </row>
    <row r="231" spans="2:2" x14ac:dyDescent="0.2">
      <c r="B231" s="1"/>
    </row>
    <row r="232" spans="2:2" x14ac:dyDescent="0.2">
      <c r="B232" s="1"/>
    </row>
    <row r="233" spans="2:2" x14ac:dyDescent="0.2">
      <c r="B233" s="1"/>
    </row>
    <row r="234" spans="2:2" x14ac:dyDescent="0.2">
      <c r="B234" s="1"/>
    </row>
    <row r="235" spans="2:2" x14ac:dyDescent="0.2">
      <c r="B235" s="1"/>
    </row>
    <row r="236" spans="2:2" x14ac:dyDescent="0.2">
      <c r="B236" s="1"/>
    </row>
    <row r="237" spans="2:2" x14ac:dyDescent="0.2">
      <c r="B237" s="1"/>
    </row>
    <row r="238" spans="2:2" x14ac:dyDescent="0.2">
      <c r="B238" s="1"/>
    </row>
    <row r="239" spans="2:2" x14ac:dyDescent="0.2">
      <c r="B239" s="1"/>
    </row>
    <row r="240" spans="2:2" x14ac:dyDescent="0.2">
      <c r="B240" s="1"/>
    </row>
    <row r="241" spans="2:2" x14ac:dyDescent="0.2">
      <c r="B241" s="1"/>
    </row>
    <row r="242" spans="2:2" x14ac:dyDescent="0.2">
      <c r="B242" s="1"/>
    </row>
    <row r="243" spans="2:2" x14ac:dyDescent="0.2">
      <c r="B243" s="1"/>
    </row>
    <row r="244" spans="2:2" x14ac:dyDescent="0.2">
      <c r="B244" s="1"/>
    </row>
    <row r="245" spans="2:2" x14ac:dyDescent="0.2">
      <c r="B245" s="1"/>
    </row>
    <row r="246" spans="2:2" x14ac:dyDescent="0.2">
      <c r="B246" s="1"/>
    </row>
    <row r="247" spans="2:2" x14ac:dyDescent="0.2">
      <c r="B247" s="1"/>
    </row>
    <row r="248" spans="2:2" x14ac:dyDescent="0.2">
      <c r="B248" s="1"/>
    </row>
    <row r="249" spans="2:2" x14ac:dyDescent="0.2">
      <c r="B249" s="1"/>
    </row>
    <row r="250" spans="2:2" x14ac:dyDescent="0.2">
      <c r="B250" s="1"/>
    </row>
    <row r="251" spans="2:2" x14ac:dyDescent="0.2">
      <c r="B251" s="1"/>
    </row>
    <row r="252" spans="2:2" x14ac:dyDescent="0.2">
      <c r="B252" s="1"/>
    </row>
    <row r="253" spans="2:2" x14ac:dyDescent="0.2">
      <c r="B253" s="1"/>
    </row>
    <row r="254" spans="2:2" x14ac:dyDescent="0.2">
      <c r="B254" s="1"/>
    </row>
    <row r="255" spans="2:2" x14ac:dyDescent="0.2">
      <c r="B255" s="1"/>
    </row>
    <row r="256" spans="2:2" x14ac:dyDescent="0.2">
      <c r="B256" s="1"/>
    </row>
    <row r="257" spans="2:2" x14ac:dyDescent="0.2">
      <c r="B257" s="1"/>
    </row>
    <row r="258" spans="2:2" x14ac:dyDescent="0.2">
      <c r="B258" s="1"/>
    </row>
    <row r="259" spans="2:2" x14ac:dyDescent="0.2">
      <c r="B259" s="1"/>
    </row>
    <row r="260" spans="2:2" x14ac:dyDescent="0.2">
      <c r="B260" s="1"/>
    </row>
    <row r="261" spans="2:2" x14ac:dyDescent="0.2">
      <c r="B261" s="1"/>
    </row>
    <row r="262" spans="2:2" x14ac:dyDescent="0.2">
      <c r="B262" s="1"/>
    </row>
    <row r="263" spans="2:2" x14ac:dyDescent="0.2">
      <c r="B263" s="1"/>
    </row>
    <row r="264" spans="2:2" x14ac:dyDescent="0.2">
      <c r="B264" s="1"/>
    </row>
    <row r="265" spans="2:2" x14ac:dyDescent="0.2">
      <c r="B265" s="1"/>
    </row>
    <row r="266" spans="2:2" x14ac:dyDescent="0.2">
      <c r="B266" s="1"/>
    </row>
    <row r="267" spans="2:2" x14ac:dyDescent="0.2">
      <c r="B267" s="1"/>
    </row>
    <row r="268" spans="2:2" x14ac:dyDescent="0.2">
      <c r="B268" s="1"/>
    </row>
    <row r="269" spans="2:2" x14ac:dyDescent="0.2">
      <c r="B269" s="1"/>
    </row>
    <row r="270" spans="2:2" x14ac:dyDescent="0.2">
      <c r="B270" s="1"/>
    </row>
    <row r="271" spans="2:2" x14ac:dyDescent="0.2">
      <c r="B271" s="1"/>
    </row>
    <row r="272" spans="2:2" x14ac:dyDescent="0.2">
      <c r="B272" s="1"/>
    </row>
    <row r="273" spans="2:2" x14ac:dyDescent="0.2">
      <c r="B273" s="1"/>
    </row>
    <row r="274" spans="2:2" x14ac:dyDescent="0.2">
      <c r="B274" s="1"/>
    </row>
    <row r="275" spans="2:2" x14ac:dyDescent="0.2">
      <c r="B275" s="1"/>
    </row>
    <row r="276" spans="2:2" x14ac:dyDescent="0.2">
      <c r="B276" s="1"/>
    </row>
    <row r="277" spans="2:2" x14ac:dyDescent="0.2">
      <c r="B277" s="1"/>
    </row>
    <row r="278" spans="2:2" x14ac:dyDescent="0.2">
      <c r="B278" s="1"/>
    </row>
    <row r="279" spans="2:2" x14ac:dyDescent="0.2">
      <c r="B279" s="1"/>
    </row>
    <row r="280" spans="2:2" x14ac:dyDescent="0.2">
      <c r="B280" s="1"/>
    </row>
    <row r="281" spans="2:2" x14ac:dyDescent="0.2">
      <c r="B281" s="1"/>
    </row>
    <row r="282" spans="2:2" x14ac:dyDescent="0.2">
      <c r="B282" s="1"/>
    </row>
    <row r="283" spans="2:2" x14ac:dyDescent="0.2">
      <c r="B283" s="1"/>
    </row>
    <row r="284" spans="2:2" x14ac:dyDescent="0.2">
      <c r="B284" s="1"/>
    </row>
    <row r="285" spans="2:2" x14ac:dyDescent="0.2">
      <c r="B285" s="1"/>
    </row>
    <row r="286" spans="2:2" x14ac:dyDescent="0.2">
      <c r="B286" s="1"/>
    </row>
    <row r="287" spans="2:2" x14ac:dyDescent="0.2">
      <c r="B287" s="1"/>
    </row>
    <row r="288" spans="2:2" x14ac:dyDescent="0.2">
      <c r="B288" s="1"/>
    </row>
    <row r="289" spans="2:2" x14ac:dyDescent="0.2">
      <c r="B289" s="1"/>
    </row>
    <row r="290" spans="2:2" x14ac:dyDescent="0.2">
      <c r="B290" s="1"/>
    </row>
    <row r="291" spans="2:2" x14ac:dyDescent="0.2">
      <c r="B291" s="1"/>
    </row>
    <row r="292" spans="2:2" x14ac:dyDescent="0.2">
      <c r="B292" s="1"/>
    </row>
    <row r="293" spans="2:2" x14ac:dyDescent="0.2">
      <c r="B293" s="1"/>
    </row>
    <row r="294" spans="2:2" x14ac:dyDescent="0.2">
      <c r="B294" s="1"/>
    </row>
    <row r="295" spans="2:2" x14ac:dyDescent="0.2">
      <c r="B295" s="1"/>
    </row>
    <row r="296" spans="2:2" x14ac:dyDescent="0.2">
      <c r="B296" s="1"/>
    </row>
    <row r="297" spans="2:2" x14ac:dyDescent="0.2">
      <c r="B297" s="1"/>
    </row>
    <row r="298" spans="2:2" x14ac:dyDescent="0.2">
      <c r="B298" s="1"/>
    </row>
    <row r="299" spans="2:2" x14ac:dyDescent="0.2">
      <c r="B299" s="1"/>
    </row>
    <row r="300" spans="2:2" x14ac:dyDescent="0.2">
      <c r="B300" s="1"/>
    </row>
    <row r="301" spans="2:2" x14ac:dyDescent="0.2">
      <c r="B301" s="1"/>
    </row>
    <row r="302" spans="2:2" x14ac:dyDescent="0.2">
      <c r="B302" s="1"/>
    </row>
    <row r="303" spans="2:2" x14ac:dyDescent="0.2">
      <c r="B303" s="1"/>
    </row>
    <row r="304" spans="2:2" x14ac:dyDescent="0.2">
      <c r="B304" s="1"/>
    </row>
    <row r="305" spans="2:2" x14ac:dyDescent="0.2">
      <c r="B305" s="1"/>
    </row>
    <row r="306" spans="2:2" x14ac:dyDescent="0.2">
      <c r="B306" s="1"/>
    </row>
    <row r="307" spans="2:2" x14ac:dyDescent="0.2">
      <c r="B307" s="1"/>
    </row>
    <row r="308" spans="2:2" x14ac:dyDescent="0.2">
      <c r="B308" s="1"/>
    </row>
    <row r="309" spans="2:2" x14ac:dyDescent="0.2">
      <c r="B309" s="1"/>
    </row>
    <row r="310" spans="2:2" x14ac:dyDescent="0.2">
      <c r="B310" s="1"/>
    </row>
    <row r="311" spans="2:2" x14ac:dyDescent="0.2">
      <c r="B311" s="1"/>
    </row>
    <row r="312" spans="2:2" x14ac:dyDescent="0.2">
      <c r="B312" s="1"/>
    </row>
    <row r="313" spans="2:2" x14ac:dyDescent="0.2">
      <c r="B313" s="1"/>
    </row>
    <row r="314" spans="2:2" x14ac:dyDescent="0.2">
      <c r="B314" s="1"/>
    </row>
    <row r="315" spans="2:2" x14ac:dyDescent="0.2">
      <c r="B315" s="1"/>
    </row>
    <row r="316" spans="2:2" x14ac:dyDescent="0.2">
      <c r="B316" s="1"/>
    </row>
    <row r="317" spans="2:2" x14ac:dyDescent="0.2">
      <c r="B317" s="1"/>
    </row>
    <row r="318" spans="2:2" x14ac:dyDescent="0.2">
      <c r="B318" s="1"/>
    </row>
    <row r="319" spans="2:2" x14ac:dyDescent="0.2">
      <c r="B319" s="1"/>
    </row>
    <row r="320" spans="2:2" x14ac:dyDescent="0.2">
      <c r="B320" s="1"/>
    </row>
    <row r="321" spans="2:2" x14ac:dyDescent="0.2">
      <c r="B321" s="1"/>
    </row>
    <row r="322" spans="2:2" x14ac:dyDescent="0.2">
      <c r="B322" s="1"/>
    </row>
    <row r="323" spans="2:2" x14ac:dyDescent="0.2">
      <c r="B323" s="1"/>
    </row>
    <row r="324" spans="2:2" x14ac:dyDescent="0.2">
      <c r="B324" s="1"/>
    </row>
    <row r="325" spans="2:2" x14ac:dyDescent="0.2">
      <c r="B325" s="1"/>
    </row>
    <row r="326" spans="2:2" x14ac:dyDescent="0.2">
      <c r="B326" s="1"/>
    </row>
    <row r="327" spans="2:2" x14ac:dyDescent="0.2">
      <c r="B327" s="1"/>
    </row>
    <row r="328" spans="2:2" x14ac:dyDescent="0.2">
      <c r="B328" s="1"/>
    </row>
    <row r="329" spans="2:2" x14ac:dyDescent="0.2">
      <c r="B329" s="1"/>
    </row>
    <row r="330" spans="2:2" x14ac:dyDescent="0.2">
      <c r="B330" s="1"/>
    </row>
    <row r="331" spans="2:2" x14ac:dyDescent="0.2">
      <c r="B331" s="1"/>
    </row>
    <row r="332" spans="2:2" x14ac:dyDescent="0.2">
      <c r="B332" s="1"/>
    </row>
    <row r="333" spans="2:2" x14ac:dyDescent="0.2">
      <c r="B333" s="1"/>
    </row>
    <row r="334" spans="2:2" x14ac:dyDescent="0.2">
      <c r="B334" s="1"/>
    </row>
    <row r="335" spans="2:2" x14ac:dyDescent="0.2">
      <c r="B335" s="1"/>
    </row>
    <row r="336" spans="2:2" x14ac:dyDescent="0.2">
      <c r="B336" s="1"/>
    </row>
    <row r="337" spans="2:2" x14ac:dyDescent="0.2">
      <c r="B337" s="1"/>
    </row>
    <row r="338" spans="2:2" x14ac:dyDescent="0.2">
      <c r="B338" s="1"/>
    </row>
    <row r="339" spans="2:2" x14ac:dyDescent="0.2">
      <c r="B339" s="1"/>
    </row>
    <row r="340" spans="2:2" x14ac:dyDescent="0.2">
      <c r="B340" s="1"/>
    </row>
    <row r="341" spans="2:2" x14ac:dyDescent="0.2">
      <c r="B341" s="1"/>
    </row>
    <row r="342" spans="2:2" x14ac:dyDescent="0.2">
      <c r="B342" s="1"/>
    </row>
    <row r="343" spans="2:2" x14ac:dyDescent="0.2">
      <c r="B343" s="1"/>
    </row>
    <row r="344" spans="2:2" x14ac:dyDescent="0.2">
      <c r="B344" s="1"/>
    </row>
    <row r="345" spans="2:2" x14ac:dyDescent="0.2">
      <c r="B345" s="1"/>
    </row>
    <row r="346" spans="2:2" x14ac:dyDescent="0.2">
      <c r="B346" s="1"/>
    </row>
    <row r="347" spans="2:2" x14ac:dyDescent="0.2">
      <c r="B347" s="1"/>
    </row>
    <row r="348" spans="2:2" x14ac:dyDescent="0.2">
      <c r="B348" s="1"/>
    </row>
    <row r="349" spans="2:2" x14ac:dyDescent="0.2">
      <c r="B349" s="1"/>
    </row>
    <row r="350" spans="2:2" x14ac:dyDescent="0.2">
      <c r="B350" s="1"/>
    </row>
    <row r="351" spans="2:2" x14ac:dyDescent="0.2">
      <c r="B351" s="1"/>
    </row>
    <row r="352" spans="2:2" x14ac:dyDescent="0.2">
      <c r="B352" s="1"/>
    </row>
    <row r="353" spans="2:2" x14ac:dyDescent="0.2">
      <c r="B353" s="1"/>
    </row>
    <row r="354" spans="2:2" x14ac:dyDescent="0.2">
      <c r="B354" s="1"/>
    </row>
    <row r="355" spans="2:2" x14ac:dyDescent="0.2">
      <c r="B355" s="1"/>
    </row>
    <row r="356" spans="2:2" x14ac:dyDescent="0.2">
      <c r="B356" s="1"/>
    </row>
    <row r="357" spans="2:2" x14ac:dyDescent="0.2">
      <c r="B357" s="1"/>
    </row>
    <row r="358" spans="2:2" x14ac:dyDescent="0.2">
      <c r="B358" s="1"/>
    </row>
    <row r="359" spans="2:2" x14ac:dyDescent="0.2">
      <c r="B359" s="1"/>
    </row>
    <row r="360" spans="2:2" x14ac:dyDescent="0.2">
      <c r="B360" s="1"/>
    </row>
    <row r="361" spans="2:2" x14ac:dyDescent="0.2">
      <c r="B361" s="1"/>
    </row>
    <row r="362" spans="2:2" x14ac:dyDescent="0.2">
      <c r="B362" s="1"/>
    </row>
    <row r="363" spans="2:2" x14ac:dyDescent="0.2">
      <c r="B363" s="1"/>
    </row>
    <row r="364" spans="2:2" x14ac:dyDescent="0.2">
      <c r="B364" s="1"/>
    </row>
    <row r="365" spans="2:2" x14ac:dyDescent="0.2">
      <c r="B365" s="1"/>
    </row>
    <row r="366" spans="2:2" x14ac:dyDescent="0.2">
      <c r="B366" s="1"/>
    </row>
    <row r="367" spans="2:2" x14ac:dyDescent="0.2">
      <c r="B367" s="1"/>
    </row>
    <row r="368" spans="2:2" x14ac:dyDescent="0.2">
      <c r="B368" s="1"/>
    </row>
    <row r="369" spans="2:2" x14ac:dyDescent="0.2">
      <c r="B369" s="1"/>
    </row>
    <row r="370" spans="2:2" x14ac:dyDescent="0.2">
      <c r="B370" s="1"/>
    </row>
    <row r="371" spans="2:2" x14ac:dyDescent="0.2">
      <c r="B371" s="1"/>
    </row>
    <row r="372" spans="2:2" x14ac:dyDescent="0.2">
      <c r="B372" s="1"/>
    </row>
    <row r="373" spans="2:2" x14ac:dyDescent="0.2">
      <c r="B373" s="1"/>
    </row>
    <row r="374" spans="2:2" x14ac:dyDescent="0.2">
      <c r="B374" s="1"/>
    </row>
    <row r="375" spans="2:2" x14ac:dyDescent="0.2">
      <c r="B375" s="1"/>
    </row>
    <row r="376" spans="2:2" x14ac:dyDescent="0.2">
      <c r="B376" s="1"/>
    </row>
    <row r="377" spans="2:2" x14ac:dyDescent="0.2">
      <c r="B377" s="1"/>
    </row>
    <row r="378" spans="2:2" x14ac:dyDescent="0.2">
      <c r="B378" s="1"/>
    </row>
    <row r="379" spans="2:2" x14ac:dyDescent="0.2">
      <c r="B379" s="1"/>
    </row>
    <row r="380" spans="2:2" x14ac:dyDescent="0.2">
      <c r="B380" s="1"/>
    </row>
    <row r="381" spans="2:2" x14ac:dyDescent="0.2">
      <c r="B381" s="1"/>
    </row>
    <row r="382" spans="2:2" x14ac:dyDescent="0.2">
      <c r="B382" s="1"/>
    </row>
    <row r="383" spans="2:2" x14ac:dyDescent="0.2">
      <c r="B383" s="1"/>
    </row>
    <row r="384" spans="2:2" x14ac:dyDescent="0.2">
      <c r="B384" s="1"/>
    </row>
    <row r="385" spans="2:2" x14ac:dyDescent="0.2">
      <c r="B385" s="1"/>
    </row>
    <row r="386" spans="2:2" x14ac:dyDescent="0.2">
      <c r="B386" s="1"/>
    </row>
    <row r="387" spans="2:2" x14ac:dyDescent="0.2">
      <c r="B387" s="1"/>
    </row>
    <row r="388" spans="2:2" x14ac:dyDescent="0.2">
      <c r="B388" s="1"/>
    </row>
    <row r="389" spans="2:2" x14ac:dyDescent="0.2">
      <c r="B389" s="1"/>
    </row>
    <row r="390" spans="2:2" x14ac:dyDescent="0.2">
      <c r="B390" s="1"/>
    </row>
    <row r="391" spans="2:2" x14ac:dyDescent="0.2">
      <c r="B391" s="1"/>
    </row>
    <row r="392" spans="2:2" x14ac:dyDescent="0.2">
      <c r="B392" s="1"/>
    </row>
    <row r="393" spans="2:2" x14ac:dyDescent="0.2">
      <c r="B393" s="1"/>
    </row>
    <row r="394" spans="2:2" x14ac:dyDescent="0.2">
      <c r="B394" s="1"/>
    </row>
    <row r="395" spans="2:2" x14ac:dyDescent="0.2">
      <c r="B395" s="1"/>
    </row>
    <row r="396" spans="2:2" x14ac:dyDescent="0.2">
      <c r="B396" s="1"/>
    </row>
    <row r="397" spans="2:2" x14ac:dyDescent="0.2">
      <c r="B397" s="1"/>
    </row>
    <row r="398" spans="2:2" x14ac:dyDescent="0.2">
      <c r="B398" s="1"/>
    </row>
    <row r="399" spans="2:2" x14ac:dyDescent="0.2">
      <c r="B399" s="1"/>
    </row>
    <row r="400" spans="2:2" x14ac:dyDescent="0.2">
      <c r="B400" s="1"/>
    </row>
    <row r="401" spans="2:2" x14ac:dyDescent="0.2">
      <c r="B401" s="1"/>
    </row>
    <row r="402" spans="2:2" x14ac:dyDescent="0.2">
      <c r="B402" s="1"/>
    </row>
    <row r="403" spans="2:2" x14ac:dyDescent="0.2">
      <c r="B403" s="1"/>
    </row>
    <row r="404" spans="2:2" x14ac:dyDescent="0.2">
      <c r="B404" s="1"/>
    </row>
    <row r="405" spans="2:2" x14ac:dyDescent="0.2">
      <c r="B405" s="1"/>
    </row>
    <row r="406" spans="2:2" x14ac:dyDescent="0.2">
      <c r="B406" s="1"/>
    </row>
    <row r="407" spans="2:2" x14ac:dyDescent="0.2">
      <c r="B407" s="1"/>
    </row>
    <row r="408" spans="2:2" x14ac:dyDescent="0.2">
      <c r="B408" s="1"/>
    </row>
    <row r="409" spans="2:2" x14ac:dyDescent="0.2">
      <c r="B409" s="1"/>
    </row>
    <row r="410" spans="2:2" x14ac:dyDescent="0.2">
      <c r="B410" s="1"/>
    </row>
    <row r="411" spans="2:2" x14ac:dyDescent="0.2">
      <c r="B411" s="1"/>
    </row>
    <row r="412" spans="2:2" x14ac:dyDescent="0.2">
      <c r="B412" s="1"/>
    </row>
    <row r="413" spans="2:2" x14ac:dyDescent="0.2">
      <c r="B413" s="1"/>
    </row>
    <row r="414" spans="2:2" x14ac:dyDescent="0.2">
      <c r="B414" s="1"/>
    </row>
    <row r="415" spans="2:2" x14ac:dyDescent="0.2">
      <c r="B415" s="1"/>
    </row>
    <row r="416" spans="2:2" x14ac:dyDescent="0.2">
      <c r="B416" s="1"/>
    </row>
    <row r="417" spans="2:2" x14ac:dyDescent="0.2">
      <c r="B417" s="1"/>
    </row>
    <row r="418" spans="2:2" x14ac:dyDescent="0.2">
      <c r="B418" s="1"/>
    </row>
    <row r="419" spans="2:2" x14ac:dyDescent="0.2">
      <c r="B419" s="1"/>
    </row>
    <row r="420" spans="2:2" x14ac:dyDescent="0.2">
      <c r="B420" s="1"/>
    </row>
    <row r="421" spans="2:2" x14ac:dyDescent="0.2">
      <c r="B421" s="1"/>
    </row>
    <row r="422" spans="2:2" x14ac:dyDescent="0.2">
      <c r="B422" s="1"/>
    </row>
    <row r="423" spans="2:2" x14ac:dyDescent="0.2">
      <c r="B423" s="1"/>
    </row>
    <row r="424" spans="2:2" x14ac:dyDescent="0.2">
      <c r="B424" s="1"/>
    </row>
    <row r="425" spans="2:2" x14ac:dyDescent="0.2">
      <c r="B425" s="1"/>
    </row>
    <row r="426" spans="2:2" x14ac:dyDescent="0.2">
      <c r="B426" s="1"/>
    </row>
    <row r="427" spans="2:2" x14ac:dyDescent="0.2">
      <c r="B427" s="1"/>
    </row>
    <row r="428" spans="2:2" x14ac:dyDescent="0.2">
      <c r="B428" s="1"/>
    </row>
    <row r="429" spans="2:2" x14ac:dyDescent="0.2">
      <c r="B429" s="1"/>
    </row>
    <row r="430" spans="2:2" x14ac:dyDescent="0.2">
      <c r="B430" s="1"/>
    </row>
    <row r="431" spans="2:2" x14ac:dyDescent="0.2">
      <c r="B431" s="1"/>
    </row>
    <row r="432" spans="2:2" x14ac:dyDescent="0.2">
      <c r="B432" s="1"/>
    </row>
    <row r="433" spans="2:2" x14ac:dyDescent="0.2">
      <c r="B433" s="1"/>
    </row>
    <row r="434" spans="2:2" x14ac:dyDescent="0.2">
      <c r="B434" s="1"/>
    </row>
    <row r="435" spans="2:2" x14ac:dyDescent="0.2">
      <c r="B435" s="1"/>
    </row>
    <row r="436" spans="2:2" x14ac:dyDescent="0.2">
      <c r="B436" s="1"/>
    </row>
    <row r="437" spans="2:2" x14ac:dyDescent="0.2">
      <c r="B437" s="1"/>
    </row>
    <row r="438" spans="2:2" x14ac:dyDescent="0.2">
      <c r="B438" s="1"/>
    </row>
    <row r="439" spans="2:2" x14ac:dyDescent="0.2">
      <c r="B439" s="1"/>
    </row>
    <row r="440" spans="2:2" x14ac:dyDescent="0.2">
      <c r="B440" s="1"/>
    </row>
    <row r="441" spans="2:2" x14ac:dyDescent="0.2">
      <c r="B441" s="1"/>
    </row>
    <row r="442" spans="2:2" x14ac:dyDescent="0.2">
      <c r="B442" s="1"/>
    </row>
    <row r="443" spans="2:2" x14ac:dyDescent="0.2">
      <c r="B443" s="1"/>
    </row>
    <row r="444" spans="2:2" x14ac:dyDescent="0.2">
      <c r="B444" s="1"/>
    </row>
    <row r="445" spans="2:2" x14ac:dyDescent="0.2">
      <c r="B445" s="1"/>
    </row>
    <row r="446" spans="2:2" x14ac:dyDescent="0.2">
      <c r="B446" s="1"/>
    </row>
    <row r="447" spans="2:2" x14ac:dyDescent="0.2">
      <c r="B447" s="1"/>
    </row>
    <row r="448" spans="2:2" x14ac:dyDescent="0.2">
      <c r="B448" s="1"/>
    </row>
    <row r="449" spans="2:2" x14ac:dyDescent="0.2">
      <c r="B449" s="1"/>
    </row>
    <row r="450" spans="2:2" x14ac:dyDescent="0.2">
      <c r="B450" s="1"/>
    </row>
    <row r="451" spans="2:2" x14ac:dyDescent="0.2">
      <c r="B451" s="1"/>
    </row>
    <row r="452" spans="2:2" x14ac:dyDescent="0.2">
      <c r="B452" s="1"/>
    </row>
    <row r="453" spans="2:2" x14ac:dyDescent="0.2">
      <c r="B453" s="1"/>
    </row>
    <row r="454" spans="2:2" x14ac:dyDescent="0.2">
      <c r="B454" s="1"/>
    </row>
    <row r="455" spans="2:2" x14ac:dyDescent="0.2">
      <c r="B455" s="1"/>
    </row>
    <row r="456" spans="2:2" x14ac:dyDescent="0.2">
      <c r="B456" s="1"/>
    </row>
    <row r="457" spans="2:2" x14ac:dyDescent="0.2">
      <c r="B457" s="1"/>
    </row>
    <row r="458" spans="2:2" x14ac:dyDescent="0.2">
      <c r="B458" s="1"/>
    </row>
    <row r="459" spans="2:2" x14ac:dyDescent="0.2">
      <c r="B459" s="1"/>
    </row>
    <row r="460" spans="2:2" x14ac:dyDescent="0.2">
      <c r="B460" s="1"/>
    </row>
    <row r="461" spans="2:2" x14ac:dyDescent="0.2">
      <c r="B461" s="1"/>
    </row>
    <row r="462" spans="2:2" x14ac:dyDescent="0.2">
      <c r="B462" s="1"/>
    </row>
    <row r="463" spans="2:2" x14ac:dyDescent="0.2">
      <c r="B463" s="1"/>
    </row>
    <row r="464" spans="2:2" x14ac:dyDescent="0.2">
      <c r="B464" s="1"/>
    </row>
    <row r="465" spans="2:2" x14ac:dyDescent="0.2">
      <c r="B465" s="1"/>
    </row>
    <row r="466" spans="2:2" x14ac:dyDescent="0.2">
      <c r="B466" s="1"/>
    </row>
    <row r="467" spans="2:2" x14ac:dyDescent="0.2">
      <c r="B467" s="1"/>
    </row>
    <row r="468" spans="2:2" x14ac:dyDescent="0.2">
      <c r="B468" s="1"/>
    </row>
    <row r="469" spans="2:2" x14ac:dyDescent="0.2">
      <c r="B469" s="1"/>
    </row>
    <row r="470" spans="2:2" x14ac:dyDescent="0.2">
      <c r="B470" s="1"/>
    </row>
    <row r="471" spans="2:2" x14ac:dyDescent="0.2">
      <c r="B471" s="1"/>
    </row>
    <row r="472" spans="2:2" x14ac:dyDescent="0.2">
      <c r="B472" s="1"/>
    </row>
    <row r="473" spans="2:2" x14ac:dyDescent="0.2">
      <c r="B473" s="1"/>
    </row>
    <row r="474" spans="2:2" x14ac:dyDescent="0.2">
      <c r="B474" s="1"/>
    </row>
    <row r="475" spans="2:2" x14ac:dyDescent="0.2">
      <c r="B475" s="1"/>
    </row>
    <row r="476" spans="2:2" x14ac:dyDescent="0.2">
      <c r="B476" s="1"/>
    </row>
    <row r="477" spans="2:2" x14ac:dyDescent="0.2">
      <c r="B477" s="1"/>
    </row>
    <row r="478" spans="2:2" x14ac:dyDescent="0.2">
      <c r="B478" s="1"/>
    </row>
    <row r="479" spans="2:2" x14ac:dyDescent="0.2">
      <c r="B479" s="1"/>
    </row>
    <row r="480" spans="2:2" x14ac:dyDescent="0.2">
      <c r="B480" s="1"/>
    </row>
    <row r="481" spans="2:2" x14ac:dyDescent="0.2">
      <c r="B481" s="1"/>
    </row>
    <row r="482" spans="2:2" x14ac:dyDescent="0.2">
      <c r="B482" s="1"/>
    </row>
    <row r="483" spans="2:2" x14ac:dyDescent="0.2">
      <c r="B483" s="1"/>
    </row>
    <row r="484" spans="2:2" x14ac:dyDescent="0.2">
      <c r="B484" s="1"/>
    </row>
    <row r="485" spans="2:2" x14ac:dyDescent="0.2">
      <c r="B485" s="1"/>
    </row>
    <row r="486" spans="2:2" x14ac:dyDescent="0.2">
      <c r="B486" s="1"/>
    </row>
    <row r="487" spans="2:2" x14ac:dyDescent="0.2">
      <c r="B487" s="1"/>
    </row>
    <row r="488" spans="2:2" x14ac:dyDescent="0.2">
      <c r="B488" s="1"/>
    </row>
    <row r="489" spans="2:2" x14ac:dyDescent="0.2">
      <c r="B489" s="1"/>
    </row>
    <row r="490" spans="2:2" x14ac:dyDescent="0.2">
      <c r="B490" s="1"/>
    </row>
    <row r="491" spans="2:2" x14ac:dyDescent="0.2">
      <c r="B491" s="1"/>
    </row>
    <row r="492" spans="2:2" x14ac:dyDescent="0.2">
      <c r="B492" s="1"/>
    </row>
    <row r="493" spans="2:2" x14ac:dyDescent="0.2">
      <c r="B493" s="1"/>
    </row>
    <row r="494" spans="2:2" x14ac:dyDescent="0.2">
      <c r="B494" s="1"/>
    </row>
    <row r="495" spans="2:2" x14ac:dyDescent="0.2">
      <c r="B495" s="1"/>
    </row>
    <row r="496" spans="2:2" x14ac:dyDescent="0.2">
      <c r="B496" s="1"/>
    </row>
    <row r="497" spans="2:2" x14ac:dyDescent="0.2">
      <c r="B497" s="1"/>
    </row>
    <row r="498" spans="2:2" x14ac:dyDescent="0.2">
      <c r="B498" s="1"/>
    </row>
    <row r="499" spans="2:2" x14ac:dyDescent="0.2">
      <c r="B499" s="1"/>
    </row>
    <row r="500" spans="2:2" x14ac:dyDescent="0.2">
      <c r="B500" s="1"/>
    </row>
    <row r="501" spans="2:2" x14ac:dyDescent="0.2">
      <c r="B501" s="1"/>
    </row>
    <row r="502" spans="2:2" x14ac:dyDescent="0.2">
      <c r="B502" s="1"/>
    </row>
    <row r="503" spans="2:2" x14ac:dyDescent="0.2">
      <c r="B503" s="1"/>
    </row>
    <row r="504" spans="2:2" x14ac:dyDescent="0.2">
      <c r="B504" s="1"/>
    </row>
    <row r="505" spans="2:2" x14ac:dyDescent="0.2">
      <c r="B505" s="1"/>
    </row>
    <row r="506" spans="2:2" x14ac:dyDescent="0.2">
      <c r="B506" s="1"/>
    </row>
    <row r="507" spans="2:2" x14ac:dyDescent="0.2">
      <c r="B507" s="1"/>
    </row>
    <row r="508" spans="2:2" x14ac:dyDescent="0.2">
      <c r="B508" s="1"/>
    </row>
    <row r="509" spans="2:2" x14ac:dyDescent="0.2">
      <c r="B509" s="1"/>
    </row>
    <row r="510" spans="2:2" x14ac:dyDescent="0.2">
      <c r="B510" s="1"/>
    </row>
    <row r="511" spans="2:2" x14ac:dyDescent="0.2">
      <c r="B511" s="1"/>
    </row>
    <row r="512" spans="2:2" x14ac:dyDescent="0.2">
      <c r="B512" s="1"/>
    </row>
    <row r="513" spans="2:2" x14ac:dyDescent="0.2">
      <c r="B513" s="1"/>
    </row>
    <row r="514" spans="2:2" x14ac:dyDescent="0.2">
      <c r="B514" s="1"/>
    </row>
    <row r="515" spans="2:2" x14ac:dyDescent="0.2">
      <c r="B515" s="1"/>
    </row>
    <row r="516" spans="2:2" x14ac:dyDescent="0.2">
      <c r="B516" s="1"/>
    </row>
    <row r="517" spans="2:2" x14ac:dyDescent="0.2">
      <c r="B517" s="1"/>
    </row>
    <row r="518" spans="2:2" x14ac:dyDescent="0.2">
      <c r="B518" s="1"/>
    </row>
    <row r="519" spans="2:2" x14ac:dyDescent="0.2">
      <c r="B519" s="1"/>
    </row>
    <row r="520" spans="2:2" x14ac:dyDescent="0.2">
      <c r="B520" s="1"/>
    </row>
    <row r="521" spans="2:2" x14ac:dyDescent="0.2">
      <c r="B521" s="1"/>
    </row>
    <row r="522" spans="2:2" x14ac:dyDescent="0.2">
      <c r="B522" s="1"/>
    </row>
    <row r="523" spans="2:2" x14ac:dyDescent="0.2">
      <c r="B523" s="1"/>
    </row>
    <row r="524" spans="2:2" x14ac:dyDescent="0.2">
      <c r="B524" s="1"/>
    </row>
    <row r="525" spans="2:2" x14ac:dyDescent="0.2">
      <c r="B525" s="1"/>
    </row>
    <row r="526" spans="2:2" x14ac:dyDescent="0.2">
      <c r="B526" s="1"/>
    </row>
    <row r="527" spans="2:2" x14ac:dyDescent="0.2">
      <c r="B527" s="1"/>
    </row>
    <row r="528" spans="2:2" x14ac:dyDescent="0.2">
      <c r="B528" s="1"/>
    </row>
    <row r="529" spans="2:2" x14ac:dyDescent="0.2">
      <c r="B529" s="1"/>
    </row>
    <row r="530" spans="2:2" x14ac:dyDescent="0.2">
      <c r="B530" s="1"/>
    </row>
    <row r="531" spans="2:2" x14ac:dyDescent="0.2">
      <c r="B531" s="1"/>
    </row>
    <row r="532" spans="2:2" x14ac:dyDescent="0.2">
      <c r="B532" s="1"/>
    </row>
    <row r="533" spans="2:2" x14ac:dyDescent="0.2">
      <c r="B533" s="1"/>
    </row>
    <row r="534" spans="2:2" x14ac:dyDescent="0.2">
      <c r="B534" s="1"/>
    </row>
    <row r="535" spans="2:2" x14ac:dyDescent="0.2">
      <c r="B535" s="1"/>
    </row>
    <row r="536" spans="2:2" x14ac:dyDescent="0.2">
      <c r="B536" s="1"/>
    </row>
    <row r="537" spans="2:2" x14ac:dyDescent="0.2">
      <c r="B537" s="1"/>
    </row>
    <row r="538" spans="2:2" x14ac:dyDescent="0.2">
      <c r="B538" s="1"/>
    </row>
    <row r="539" spans="2:2" x14ac:dyDescent="0.2">
      <c r="B539" s="1"/>
    </row>
    <row r="540" spans="2:2" x14ac:dyDescent="0.2">
      <c r="B540" s="1"/>
    </row>
    <row r="541" spans="2:2" x14ac:dyDescent="0.2">
      <c r="B541" s="1"/>
    </row>
    <row r="542" spans="2:2" x14ac:dyDescent="0.2">
      <c r="B542" s="1"/>
    </row>
    <row r="543" spans="2:2" x14ac:dyDescent="0.2">
      <c r="B543" s="1"/>
    </row>
    <row r="544" spans="2:2" x14ac:dyDescent="0.2">
      <c r="B544" s="1"/>
    </row>
    <row r="545" spans="2:2" x14ac:dyDescent="0.2">
      <c r="B545" s="1"/>
    </row>
    <row r="546" spans="2:2" x14ac:dyDescent="0.2">
      <c r="B546" s="1"/>
    </row>
    <row r="547" spans="2:2" x14ac:dyDescent="0.2">
      <c r="B547" s="1"/>
    </row>
    <row r="548" spans="2:2" x14ac:dyDescent="0.2">
      <c r="B548" s="1"/>
    </row>
    <row r="549" spans="2:2" x14ac:dyDescent="0.2">
      <c r="B549" s="1"/>
    </row>
    <row r="550" spans="2:2" x14ac:dyDescent="0.2">
      <c r="B550" s="1"/>
    </row>
    <row r="551" spans="2:2" x14ac:dyDescent="0.2">
      <c r="B551" s="1"/>
    </row>
    <row r="552" spans="2:2" x14ac:dyDescent="0.2">
      <c r="B552" s="1"/>
    </row>
    <row r="553" spans="2:2" x14ac:dyDescent="0.2">
      <c r="B553" s="1"/>
    </row>
    <row r="554" spans="2:2" x14ac:dyDescent="0.2">
      <c r="B554" s="1"/>
    </row>
    <row r="555" spans="2:2" x14ac:dyDescent="0.2">
      <c r="B555" s="1"/>
    </row>
    <row r="556" spans="2:2" x14ac:dyDescent="0.2">
      <c r="B556" s="1"/>
    </row>
    <row r="557" spans="2:2" x14ac:dyDescent="0.2">
      <c r="B557" s="1"/>
    </row>
    <row r="558" spans="2:2" x14ac:dyDescent="0.2">
      <c r="B558" s="1"/>
    </row>
    <row r="559" spans="2:2" x14ac:dyDescent="0.2">
      <c r="B559" s="1"/>
    </row>
    <row r="560" spans="2:2" x14ac:dyDescent="0.2">
      <c r="B560" s="1"/>
    </row>
    <row r="561" spans="2:2" x14ac:dyDescent="0.2">
      <c r="B561" s="1"/>
    </row>
    <row r="562" spans="2:2" x14ac:dyDescent="0.2">
      <c r="B562" s="1"/>
    </row>
    <row r="563" spans="2:2" x14ac:dyDescent="0.2">
      <c r="B563" s="1"/>
    </row>
    <row r="564" spans="2:2" x14ac:dyDescent="0.2">
      <c r="B564" s="1"/>
    </row>
    <row r="565" spans="2:2" x14ac:dyDescent="0.2">
      <c r="B565" s="1"/>
    </row>
    <row r="566" spans="2:2" x14ac:dyDescent="0.2">
      <c r="B566" s="1"/>
    </row>
    <row r="567" spans="2:2" x14ac:dyDescent="0.2">
      <c r="B567" s="1"/>
    </row>
    <row r="568" spans="2:2" x14ac:dyDescent="0.2">
      <c r="B568" s="1"/>
    </row>
    <row r="569" spans="2:2" x14ac:dyDescent="0.2">
      <c r="B569" s="1"/>
    </row>
    <row r="570" spans="2:2" x14ac:dyDescent="0.2">
      <c r="B570" s="1"/>
    </row>
    <row r="571" spans="2:2" x14ac:dyDescent="0.2">
      <c r="B571" s="1"/>
    </row>
    <row r="572" spans="2:2" x14ac:dyDescent="0.2">
      <c r="B572" s="1"/>
    </row>
    <row r="573" spans="2:2" x14ac:dyDescent="0.2">
      <c r="B573" s="1"/>
    </row>
    <row r="574" spans="2:2" x14ac:dyDescent="0.2">
      <c r="B574" s="1"/>
    </row>
    <row r="575" spans="2:2" x14ac:dyDescent="0.2">
      <c r="B575" s="1"/>
    </row>
    <row r="576" spans="2:2" x14ac:dyDescent="0.2">
      <c r="B576" s="1"/>
    </row>
    <row r="577" spans="2:2" x14ac:dyDescent="0.2">
      <c r="B577" s="1"/>
    </row>
    <row r="578" spans="2:2" x14ac:dyDescent="0.2">
      <c r="B578" s="1"/>
    </row>
    <row r="579" spans="2:2" x14ac:dyDescent="0.2">
      <c r="B579" s="1"/>
    </row>
    <row r="580" spans="2:2" x14ac:dyDescent="0.2">
      <c r="B580" s="1"/>
    </row>
    <row r="581" spans="2:2" x14ac:dyDescent="0.2">
      <c r="B581" s="1"/>
    </row>
    <row r="582" spans="2:2" x14ac:dyDescent="0.2">
      <c r="B582" s="1"/>
    </row>
    <row r="583" spans="2:2" x14ac:dyDescent="0.2">
      <c r="B583" s="1"/>
    </row>
    <row r="584" spans="2:2" x14ac:dyDescent="0.2">
      <c r="B584" s="1"/>
    </row>
    <row r="585" spans="2:2" x14ac:dyDescent="0.2">
      <c r="B585" s="1"/>
    </row>
    <row r="586" spans="2:2" x14ac:dyDescent="0.2">
      <c r="B586" s="1"/>
    </row>
    <row r="587" spans="2:2" x14ac:dyDescent="0.2">
      <c r="B587" s="1"/>
    </row>
    <row r="588" spans="2:2" x14ac:dyDescent="0.2">
      <c r="B588" s="1"/>
    </row>
    <row r="589" spans="2:2" x14ac:dyDescent="0.2">
      <c r="B589" s="1"/>
    </row>
    <row r="590" spans="2:2" x14ac:dyDescent="0.2">
      <c r="B590" s="1"/>
    </row>
    <row r="591" spans="2:2" x14ac:dyDescent="0.2">
      <c r="B591" s="1"/>
    </row>
    <row r="592" spans="2:2" x14ac:dyDescent="0.2">
      <c r="B592" s="1"/>
    </row>
    <row r="593" spans="2:2" x14ac:dyDescent="0.2">
      <c r="B593" s="1"/>
    </row>
    <row r="594" spans="2:2" x14ac:dyDescent="0.2">
      <c r="B594" s="1"/>
    </row>
    <row r="595" spans="2:2" x14ac:dyDescent="0.2">
      <c r="B595" s="1"/>
    </row>
    <row r="596" spans="2:2" x14ac:dyDescent="0.2">
      <c r="B596" s="1"/>
    </row>
    <row r="597" spans="2:2" x14ac:dyDescent="0.2">
      <c r="B597" s="1"/>
    </row>
    <row r="598" spans="2:2" x14ac:dyDescent="0.2">
      <c r="B598" s="1"/>
    </row>
    <row r="599" spans="2:2" x14ac:dyDescent="0.2">
      <c r="B599" s="1"/>
    </row>
    <row r="600" spans="2:2" x14ac:dyDescent="0.2">
      <c r="B600" s="1"/>
    </row>
    <row r="601" spans="2:2" x14ac:dyDescent="0.2">
      <c r="B601" s="1"/>
    </row>
    <row r="602" spans="2:2" x14ac:dyDescent="0.2">
      <c r="B602" s="1"/>
    </row>
    <row r="603" spans="2:2" x14ac:dyDescent="0.2">
      <c r="B603" s="1"/>
    </row>
    <row r="604" spans="2:2" x14ac:dyDescent="0.2">
      <c r="B604" s="1"/>
    </row>
    <row r="605" spans="2:2" x14ac:dyDescent="0.2">
      <c r="B605" s="1"/>
    </row>
    <row r="606" spans="2:2" x14ac:dyDescent="0.2">
      <c r="B606" s="1"/>
    </row>
    <row r="607" spans="2:2" x14ac:dyDescent="0.2">
      <c r="B607" s="1"/>
    </row>
    <row r="608" spans="2:2" x14ac:dyDescent="0.2">
      <c r="B608" s="1"/>
    </row>
    <row r="609" spans="2:2" x14ac:dyDescent="0.2">
      <c r="B609" s="1"/>
    </row>
    <row r="610" spans="2:2" x14ac:dyDescent="0.2">
      <c r="B610" s="1"/>
    </row>
    <row r="611" spans="2:2" x14ac:dyDescent="0.2">
      <c r="B611" s="1"/>
    </row>
    <row r="612" spans="2:2" x14ac:dyDescent="0.2">
      <c r="B612" s="1"/>
    </row>
    <row r="613" spans="2:2" x14ac:dyDescent="0.2">
      <c r="B613" s="1"/>
    </row>
    <row r="614" spans="2:2" x14ac:dyDescent="0.2">
      <c r="B614" s="1"/>
    </row>
    <row r="615" spans="2:2" x14ac:dyDescent="0.2">
      <c r="B615" s="1"/>
    </row>
    <row r="616" spans="2:2" x14ac:dyDescent="0.2">
      <c r="B616" s="1"/>
    </row>
    <row r="617" spans="2:2" x14ac:dyDescent="0.2">
      <c r="B617" s="1"/>
    </row>
    <row r="618" spans="2:2" x14ac:dyDescent="0.2">
      <c r="B618" s="1"/>
    </row>
    <row r="619" spans="2:2" x14ac:dyDescent="0.2">
      <c r="B619" s="1"/>
    </row>
    <row r="620" spans="2:2" x14ac:dyDescent="0.2">
      <c r="B620" s="1"/>
    </row>
    <row r="621" spans="2:2" x14ac:dyDescent="0.2">
      <c r="B621" s="1"/>
    </row>
    <row r="622" spans="2:2" x14ac:dyDescent="0.2">
      <c r="B622" s="1"/>
    </row>
    <row r="623" spans="2:2" x14ac:dyDescent="0.2">
      <c r="B623" s="1"/>
    </row>
    <row r="624" spans="2:2" x14ac:dyDescent="0.2">
      <c r="B624" s="1"/>
    </row>
    <row r="625" spans="2:2" x14ac:dyDescent="0.2">
      <c r="B625" s="1"/>
    </row>
    <row r="626" spans="2:2" x14ac:dyDescent="0.2">
      <c r="B626" s="1"/>
    </row>
    <row r="627" spans="2:2" x14ac:dyDescent="0.2">
      <c r="B627" s="1"/>
    </row>
    <row r="628" spans="2:2" x14ac:dyDescent="0.2">
      <c r="B628" s="1"/>
    </row>
    <row r="629" spans="2:2" x14ac:dyDescent="0.2">
      <c r="B629" s="1"/>
    </row>
    <row r="630" spans="2:2" x14ac:dyDescent="0.2">
      <c r="B630" s="1"/>
    </row>
    <row r="631" spans="2:2" x14ac:dyDescent="0.2">
      <c r="B631" s="1"/>
    </row>
    <row r="632" spans="2:2" x14ac:dyDescent="0.2">
      <c r="B632" s="1"/>
    </row>
    <row r="633" spans="2:2" x14ac:dyDescent="0.2">
      <c r="B633" s="1"/>
    </row>
    <row r="634" spans="2:2" x14ac:dyDescent="0.2">
      <c r="B634" s="1"/>
    </row>
    <row r="635" spans="2:2" x14ac:dyDescent="0.2">
      <c r="B635" s="1"/>
    </row>
    <row r="636" spans="2:2" x14ac:dyDescent="0.2">
      <c r="B636" s="1"/>
    </row>
    <row r="637" spans="2:2" x14ac:dyDescent="0.2">
      <c r="B637" s="1"/>
    </row>
    <row r="638" spans="2:2" x14ac:dyDescent="0.2">
      <c r="B638" s="1"/>
    </row>
    <row r="639" spans="2:2" x14ac:dyDescent="0.2">
      <c r="B639" s="1"/>
    </row>
    <row r="640" spans="2:2" x14ac:dyDescent="0.2">
      <c r="B640" s="1"/>
    </row>
    <row r="641" spans="2:2" x14ac:dyDescent="0.2">
      <c r="B641" s="1"/>
    </row>
    <row r="642" spans="2:2" x14ac:dyDescent="0.2">
      <c r="B642" s="1"/>
    </row>
    <row r="643" spans="2:2" x14ac:dyDescent="0.2">
      <c r="B643" s="1"/>
    </row>
    <row r="644" spans="2:2" x14ac:dyDescent="0.2">
      <c r="B644" s="1"/>
    </row>
    <row r="645" spans="2:2" x14ac:dyDescent="0.2">
      <c r="B645" s="1"/>
    </row>
    <row r="646" spans="2:2" x14ac:dyDescent="0.2">
      <c r="B646" s="1"/>
    </row>
    <row r="647" spans="2:2" x14ac:dyDescent="0.2">
      <c r="B647" s="1"/>
    </row>
    <row r="648" spans="2:2" x14ac:dyDescent="0.2">
      <c r="B648" s="1"/>
    </row>
    <row r="649" spans="2:2" x14ac:dyDescent="0.2">
      <c r="B649" s="1"/>
    </row>
    <row r="650" spans="2:2" x14ac:dyDescent="0.2">
      <c r="B650" s="1"/>
    </row>
    <row r="651" spans="2:2" x14ac:dyDescent="0.2">
      <c r="B651" s="1"/>
    </row>
    <row r="652" spans="2:2" x14ac:dyDescent="0.2">
      <c r="B652" s="1"/>
    </row>
    <row r="653" spans="2:2" x14ac:dyDescent="0.2">
      <c r="B653" s="1"/>
    </row>
    <row r="654" spans="2:2" x14ac:dyDescent="0.2">
      <c r="B654" s="1"/>
    </row>
    <row r="655" spans="2:2" x14ac:dyDescent="0.2">
      <c r="B655" s="1"/>
    </row>
    <row r="656" spans="2:2" x14ac:dyDescent="0.2">
      <c r="B656" s="1"/>
    </row>
    <row r="657" spans="2:2" x14ac:dyDescent="0.2">
      <c r="B657" s="1"/>
    </row>
    <row r="658" spans="2:2" x14ac:dyDescent="0.2">
      <c r="B658" s="1"/>
    </row>
    <row r="659" spans="2:2" x14ac:dyDescent="0.2">
      <c r="B659" s="1"/>
    </row>
    <row r="660" spans="2:2" x14ac:dyDescent="0.2">
      <c r="B660" s="1"/>
    </row>
    <row r="661" spans="2:2" x14ac:dyDescent="0.2">
      <c r="B661" s="1"/>
    </row>
    <row r="662" spans="2:2" x14ac:dyDescent="0.2">
      <c r="B662" s="1"/>
    </row>
    <row r="663" spans="2:2" x14ac:dyDescent="0.2">
      <c r="B663" s="1"/>
    </row>
    <row r="664" spans="2:2" x14ac:dyDescent="0.2">
      <c r="B664" s="1"/>
    </row>
    <row r="665" spans="2:2" x14ac:dyDescent="0.2">
      <c r="B665" s="1"/>
    </row>
    <row r="666" spans="2:2" x14ac:dyDescent="0.2">
      <c r="B666" s="1"/>
    </row>
    <row r="667" spans="2:2" x14ac:dyDescent="0.2">
      <c r="B667" s="1"/>
    </row>
    <row r="668" spans="2:2" x14ac:dyDescent="0.2">
      <c r="B668" s="1"/>
    </row>
    <row r="669" spans="2:2" x14ac:dyDescent="0.2">
      <c r="B669" s="1"/>
    </row>
    <row r="670" spans="2:2" x14ac:dyDescent="0.2">
      <c r="B670" s="1"/>
    </row>
    <row r="671" spans="2:2" x14ac:dyDescent="0.2">
      <c r="B671" s="1"/>
    </row>
    <row r="672" spans="2:2" x14ac:dyDescent="0.2">
      <c r="B672" s="1"/>
    </row>
    <row r="673" spans="2:2" x14ac:dyDescent="0.2">
      <c r="B673" s="1"/>
    </row>
    <row r="674" spans="2:2" x14ac:dyDescent="0.2">
      <c r="B674" s="1"/>
    </row>
    <row r="675" spans="2:2" x14ac:dyDescent="0.2">
      <c r="B675" s="1"/>
    </row>
    <row r="676" spans="2:2" x14ac:dyDescent="0.2">
      <c r="B676" s="1"/>
    </row>
    <row r="677" spans="2:2" x14ac:dyDescent="0.2">
      <c r="B677" s="1"/>
    </row>
    <row r="678" spans="2:2" x14ac:dyDescent="0.2">
      <c r="B678" s="1"/>
    </row>
    <row r="679" spans="2:2" x14ac:dyDescent="0.2">
      <c r="B679" s="1"/>
    </row>
    <row r="680" spans="2:2" x14ac:dyDescent="0.2">
      <c r="B680" s="1"/>
    </row>
    <row r="681" spans="2:2" x14ac:dyDescent="0.2">
      <c r="B681" s="1"/>
    </row>
    <row r="682" spans="2:2" x14ac:dyDescent="0.2">
      <c r="B682" s="1"/>
    </row>
    <row r="683" spans="2:2" x14ac:dyDescent="0.2">
      <c r="B683" s="1"/>
    </row>
    <row r="684" spans="2:2" x14ac:dyDescent="0.2">
      <c r="B684" s="1"/>
    </row>
    <row r="685" spans="2:2" x14ac:dyDescent="0.2">
      <c r="B685" s="1"/>
    </row>
    <row r="686" spans="2:2" x14ac:dyDescent="0.2">
      <c r="B686" s="1"/>
    </row>
    <row r="687" spans="2:2" x14ac:dyDescent="0.2">
      <c r="B687" s="1"/>
    </row>
    <row r="688" spans="2:2" x14ac:dyDescent="0.2">
      <c r="B688" s="1"/>
    </row>
    <row r="689" spans="2:2" x14ac:dyDescent="0.2">
      <c r="B689" s="1"/>
    </row>
    <row r="690" spans="2:2" x14ac:dyDescent="0.2">
      <c r="B690" s="1"/>
    </row>
    <row r="691" spans="2:2" x14ac:dyDescent="0.2">
      <c r="B691" s="1"/>
    </row>
    <row r="692" spans="2:2" x14ac:dyDescent="0.2">
      <c r="B692" s="1"/>
    </row>
    <row r="693" spans="2:2" x14ac:dyDescent="0.2">
      <c r="B693" s="1"/>
    </row>
    <row r="694" spans="2:2" x14ac:dyDescent="0.2">
      <c r="B694" s="1"/>
    </row>
    <row r="695" spans="2:2" x14ac:dyDescent="0.2">
      <c r="B695" s="1"/>
    </row>
    <row r="696" spans="2:2" x14ac:dyDescent="0.2">
      <c r="B696" s="1"/>
    </row>
    <row r="697" spans="2:2" x14ac:dyDescent="0.2">
      <c r="B697" s="1"/>
    </row>
    <row r="698" spans="2:2" x14ac:dyDescent="0.2">
      <c r="B698" s="1"/>
    </row>
    <row r="699" spans="2:2" x14ac:dyDescent="0.2">
      <c r="B699" s="1"/>
    </row>
    <row r="700" spans="2:2" x14ac:dyDescent="0.2">
      <c r="B700" s="1"/>
    </row>
    <row r="701" spans="2:2" x14ac:dyDescent="0.2">
      <c r="B701" s="1"/>
    </row>
    <row r="702" spans="2:2" x14ac:dyDescent="0.2">
      <c r="B702" s="1"/>
    </row>
    <row r="703" spans="2:2" x14ac:dyDescent="0.2">
      <c r="B703" s="1"/>
    </row>
    <row r="704" spans="2:2" x14ac:dyDescent="0.2">
      <c r="B704" s="1"/>
    </row>
    <row r="705" spans="2:2" x14ac:dyDescent="0.2">
      <c r="B705" s="1"/>
    </row>
    <row r="706" spans="2:2" x14ac:dyDescent="0.2">
      <c r="B706" s="1"/>
    </row>
    <row r="707" spans="2:2" x14ac:dyDescent="0.2">
      <c r="B707" s="1"/>
    </row>
    <row r="708" spans="2:2" x14ac:dyDescent="0.2">
      <c r="B708" s="1"/>
    </row>
    <row r="709" spans="2:2" x14ac:dyDescent="0.2">
      <c r="B709" s="1"/>
    </row>
    <row r="710" spans="2:2" x14ac:dyDescent="0.2">
      <c r="B710" s="1"/>
    </row>
    <row r="711" spans="2:2" x14ac:dyDescent="0.2">
      <c r="B711" s="1"/>
    </row>
    <row r="712" spans="2:2" x14ac:dyDescent="0.2">
      <c r="B712" s="1"/>
    </row>
    <row r="713" spans="2:2" x14ac:dyDescent="0.2">
      <c r="B713" s="1"/>
    </row>
    <row r="714" spans="2:2" x14ac:dyDescent="0.2">
      <c r="B714" s="1"/>
    </row>
    <row r="715" spans="2:2" x14ac:dyDescent="0.2">
      <c r="B715" s="1"/>
    </row>
    <row r="716" spans="2:2" x14ac:dyDescent="0.2">
      <c r="B716" s="1"/>
    </row>
    <row r="717" spans="2:2" x14ac:dyDescent="0.2">
      <c r="B717" s="1"/>
    </row>
    <row r="718" spans="2:2" x14ac:dyDescent="0.2">
      <c r="B718" s="1"/>
    </row>
    <row r="719" spans="2:2" x14ac:dyDescent="0.2">
      <c r="B719" s="1"/>
    </row>
    <row r="720" spans="2:2" x14ac:dyDescent="0.2">
      <c r="B720" s="1"/>
    </row>
    <row r="721" spans="2:2" x14ac:dyDescent="0.2">
      <c r="B721" s="1"/>
    </row>
    <row r="722" spans="2:2" x14ac:dyDescent="0.2">
      <c r="B722" s="1"/>
    </row>
    <row r="723" spans="2:2" x14ac:dyDescent="0.2">
      <c r="B723" s="1"/>
    </row>
    <row r="724" spans="2:2" x14ac:dyDescent="0.2">
      <c r="B724" s="1"/>
    </row>
    <row r="725" spans="2:2" x14ac:dyDescent="0.2">
      <c r="B725" s="1"/>
    </row>
    <row r="726" spans="2:2" x14ac:dyDescent="0.2">
      <c r="B726" s="1"/>
    </row>
    <row r="727" spans="2:2" x14ac:dyDescent="0.2">
      <c r="B727" s="1"/>
    </row>
    <row r="728" spans="2:2" x14ac:dyDescent="0.2">
      <c r="B728" s="1"/>
    </row>
    <row r="729" spans="2:2" x14ac:dyDescent="0.2">
      <c r="B729" s="1"/>
    </row>
    <row r="730" spans="2:2" x14ac:dyDescent="0.2">
      <c r="B730" s="1"/>
    </row>
    <row r="731" spans="2:2" x14ac:dyDescent="0.2">
      <c r="B731" s="1"/>
    </row>
    <row r="732" spans="2:2" x14ac:dyDescent="0.2">
      <c r="B732" s="1"/>
    </row>
    <row r="733" spans="2:2" x14ac:dyDescent="0.2">
      <c r="B733" s="1"/>
    </row>
    <row r="734" spans="2:2" x14ac:dyDescent="0.2">
      <c r="B734" s="1"/>
    </row>
    <row r="735" spans="2:2" x14ac:dyDescent="0.2">
      <c r="B735" s="1"/>
    </row>
    <row r="736" spans="2:2" x14ac:dyDescent="0.2">
      <c r="B736" s="1"/>
    </row>
    <row r="737" spans="2:2" x14ac:dyDescent="0.2">
      <c r="B737" s="1"/>
    </row>
    <row r="738" spans="2:2" x14ac:dyDescent="0.2">
      <c r="B738" s="1"/>
    </row>
    <row r="739" spans="2:2" x14ac:dyDescent="0.2">
      <c r="B739" s="1"/>
    </row>
    <row r="740" spans="2:2" x14ac:dyDescent="0.2">
      <c r="B740" s="1"/>
    </row>
    <row r="741" spans="2:2" x14ac:dyDescent="0.2">
      <c r="B741" s="1"/>
    </row>
    <row r="742" spans="2:2" x14ac:dyDescent="0.2">
      <c r="B742" s="1"/>
    </row>
    <row r="743" spans="2:2" x14ac:dyDescent="0.2">
      <c r="B743" s="1"/>
    </row>
    <row r="744" spans="2:2" x14ac:dyDescent="0.2">
      <c r="B744" s="1"/>
    </row>
    <row r="745" spans="2:2" x14ac:dyDescent="0.2">
      <c r="B745" s="1"/>
    </row>
    <row r="746" spans="2:2" x14ac:dyDescent="0.2">
      <c r="B746" s="1"/>
    </row>
    <row r="747" spans="2:2" x14ac:dyDescent="0.2">
      <c r="B747" s="1"/>
    </row>
    <row r="748" spans="2:2" x14ac:dyDescent="0.2">
      <c r="B748" s="1"/>
    </row>
    <row r="749" spans="2:2" x14ac:dyDescent="0.2">
      <c r="B749" s="1"/>
    </row>
    <row r="750" spans="2:2" x14ac:dyDescent="0.2">
      <c r="B750" s="1"/>
    </row>
    <row r="751" spans="2:2" x14ac:dyDescent="0.2">
      <c r="B751" s="1"/>
    </row>
    <row r="752" spans="2:2" x14ac:dyDescent="0.2">
      <c r="B752" s="1"/>
    </row>
    <row r="753" spans="2:2" x14ac:dyDescent="0.2">
      <c r="B753" s="1"/>
    </row>
    <row r="754" spans="2:2" x14ac:dyDescent="0.2">
      <c r="B754" s="1"/>
    </row>
    <row r="755" spans="2:2" x14ac:dyDescent="0.2">
      <c r="B755" s="1"/>
    </row>
    <row r="756" spans="2:2" x14ac:dyDescent="0.2">
      <c r="B756" s="1"/>
    </row>
    <row r="757" spans="2:2" x14ac:dyDescent="0.2">
      <c r="B757" s="1"/>
    </row>
    <row r="758" spans="2:2" x14ac:dyDescent="0.2">
      <c r="B758" s="1"/>
    </row>
    <row r="759" spans="2:2" x14ac:dyDescent="0.2">
      <c r="B759" s="1"/>
    </row>
    <row r="760" spans="2:2" x14ac:dyDescent="0.2">
      <c r="B760" s="1"/>
    </row>
    <row r="761" spans="2:2" x14ac:dyDescent="0.2">
      <c r="B761" s="1"/>
    </row>
    <row r="762" spans="2:2" x14ac:dyDescent="0.2">
      <c r="B762" s="1"/>
    </row>
    <row r="763" spans="2:2" x14ac:dyDescent="0.2">
      <c r="B763" s="1"/>
    </row>
    <row r="764" spans="2:2" x14ac:dyDescent="0.2">
      <c r="B764" s="1"/>
    </row>
    <row r="765" spans="2:2" x14ac:dyDescent="0.2">
      <c r="B765" s="1"/>
    </row>
    <row r="766" spans="2:2" x14ac:dyDescent="0.2">
      <c r="B766" s="1"/>
    </row>
    <row r="767" spans="2:2" x14ac:dyDescent="0.2">
      <c r="B767" s="1"/>
    </row>
    <row r="768" spans="2:2" x14ac:dyDescent="0.2">
      <c r="B768" s="1"/>
    </row>
    <row r="769" spans="2:2" x14ac:dyDescent="0.2">
      <c r="B769" s="1"/>
    </row>
    <row r="770" spans="2:2" x14ac:dyDescent="0.2">
      <c r="B770" s="1"/>
    </row>
    <row r="771" spans="2:2" x14ac:dyDescent="0.2">
      <c r="B771" s="1"/>
    </row>
    <row r="772" spans="2:2" x14ac:dyDescent="0.2">
      <c r="B772" s="1"/>
    </row>
    <row r="773" spans="2:2" x14ac:dyDescent="0.2">
      <c r="B773" s="1"/>
    </row>
    <row r="774" spans="2:2" x14ac:dyDescent="0.2">
      <c r="B774" s="1"/>
    </row>
    <row r="775" spans="2:2" x14ac:dyDescent="0.2">
      <c r="B775" s="1"/>
    </row>
    <row r="776" spans="2:2" x14ac:dyDescent="0.2">
      <c r="B776" s="1"/>
    </row>
    <row r="777" spans="2:2" x14ac:dyDescent="0.2">
      <c r="B777" s="1"/>
    </row>
    <row r="778" spans="2:2" x14ac:dyDescent="0.2">
      <c r="B778" s="1"/>
    </row>
    <row r="779" spans="2:2" x14ac:dyDescent="0.2">
      <c r="B779" s="1"/>
    </row>
    <row r="780" spans="2:2" x14ac:dyDescent="0.2">
      <c r="B780" s="1"/>
    </row>
    <row r="781" spans="2:2" x14ac:dyDescent="0.2">
      <c r="B781" s="1"/>
    </row>
    <row r="782" spans="2:2" x14ac:dyDescent="0.2">
      <c r="B782" s="1"/>
    </row>
    <row r="783" spans="2:2" x14ac:dyDescent="0.2">
      <c r="B783" s="1"/>
    </row>
    <row r="784" spans="2:2" x14ac:dyDescent="0.2">
      <c r="B784" s="1"/>
    </row>
    <row r="785" spans="2:2" x14ac:dyDescent="0.2">
      <c r="B785" s="1"/>
    </row>
    <row r="786" spans="2:2" x14ac:dyDescent="0.2">
      <c r="B786" s="1"/>
    </row>
    <row r="787" spans="2:2" x14ac:dyDescent="0.2">
      <c r="B787" s="1"/>
    </row>
    <row r="788" spans="2:2" x14ac:dyDescent="0.2">
      <c r="B788" s="1"/>
    </row>
    <row r="789" spans="2:2" x14ac:dyDescent="0.2">
      <c r="B789" s="1"/>
    </row>
    <row r="790" spans="2:2" x14ac:dyDescent="0.2">
      <c r="B790" s="1"/>
    </row>
    <row r="791" spans="2:2" x14ac:dyDescent="0.2">
      <c r="B791" s="1"/>
    </row>
    <row r="792" spans="2:2" x14ac:dyDescent="0.2">
      <c r="B792" s="1"/>
    </row>
    <row r="793" spans="2:2" x14ac:dyDescent="0.2">
      <c r="B793" s="1"/>
    </row>
    <row r="794" spans="2:2" x14ac:dyDescent="0.2">
      <c r="B794" s="1"/>
    </row>
    <row r="795" spans="2:2" x14ac:dyDescent="0.2">
      <c r="B795" s="1"/>
    </row>
    <row r="796" spans="2:2" x14ac:dyDescent="0.2">
      <c r="B796" s="1"/>
    </row>
    <row r="797" spans="2:2" x14ac:dyDescent="0.2">
      <c r="B797" s="1"/>
    </row>
    <row r="798" spans="2:2" x14ac:dyDescent="0.2">
      <c r="B798" s="1"/>
    </row>
    <row r="799" spans="2:2" x14ac:dyDescent="0.2">
      <c r="B799" s="1"/>
    </row>
    <row r="800" spans="2:2" x14ac:dyDescent="0.2">
      <c r="B800" s="1"/>
    </row>
    <row r="801" spans="2:2" x14ac:dyDescent="0.2">
      <c r="B801" s="1"/>
    </row>
    <row r="802" spans="2:2" x14ac:dyDescent="0.2">
      <c r="B802" s="1"/>
    </row>
    <row r="803" spans="2:2" x14ac:dyDescent="0.2">
      <c r="B803" s="1"/>
    </row>
    <row r="804" spans="2:2" x14ac:dyDescent="0.2">
      <c r="B804" s="1"/>
    </row>
    <row r="805" spans="2:2" x14ac:dyDescent="0.2">
      <c r="B805" s="1"/>
    </row>
    <row r="806" spans="2:2" x14ac:dyDescent="0.2">
      <c r="B806" s="1"/>
    </row>
    <row r="807" spans="2:2" x14ac:dyDescent="0.2">
      <c r="B807" s="1"/>
    </row>
    <row r="808" spans="2:2" x14ac:dyDescent="0.2">
      <c r="B808" s="1"/>
    </row>
    <row r="809" spans="2:2" x14ac:dyDescent="0.2">
      <c r="B809" s="1"/>
    </row>
    <row r="810" spans="2:2" x14ac:dyDescent="0.2">
      <c r="B810" s="1"/>
    </row>
    <row r="811" spans="2:2" x14ac:dyDescent="0.2">
      <c r="B811" s="1"/>
    </row>
    <row r="812" spans="2:2" x14ac:dyDescent="0.2">
      <c r="B812" s="1"/>
    </row>
    <row r="813" spans="2:2" x14ac:dyDescent="0.2">
      <c r="B813" s="1"/>
    </row>
    <row r="814" spans="2:2" x14ac:dyDescent="0.2">
      <c r="B814" s="1"/>
    </row>
    <row r="815" spans="2:2" x14ac:dyDescent="0.2">
      <c r="B815" s="1"/>
    </row>
    <row r="816" spans="2:2" x14ac:dyDescent="0.2">
      <c r="B816" s="1"/>
    </row>
    <row r="817" spans="2:2" x14ac:dyDescent="0.2">
      <c r="B817" s="1"/>
    </row>
    <row r="818" spans="2:2" x14ac:dyDescent="0.2">
      <c r="B818" s="1"/>
    </row>
    <row r="819" spans="2:2" x14ac:dyDescent="0.2">
      <c r="B819" s="1"/>
    </row>
    <row r="820" spans="2:2" x14ac:dyDescent="0.2">
      <c r="B820" s="1"/>
    </row>
    <row r="821" spans="2:2" x14ac:dyDescent="0.2">
      <c r="B821" s="1"/>
    </row>
    <row r="822" spans="2:2" x14ac:dyDescent="0.2">
      <c r="B822" s="1"/>
    </row>
    <row r="823" spans="2:2" x14ac:dyDescent="0.2">
      <c r="B823" s="1"/>
    </row>
    <row r="824" spans="2:2" x14ac:dyDescent="0.2">
      <c r="B824" s="1"/>
    </row>
    <row r="825" spans="2:2" x14ac:dyDescent="0.2">
      <c r="B825" s="1"/>
    </row>
    <row r="826" spans="2:2" x14ac:dyDescent="0.2">
      <c r="B826" s="1"/>
    </row>
    <row r="827" spans="2:2" x14ac:dyDescent="0.2">
      <c r="B827" s="1"/>
    </row>
    <row r="828" spans="2:2" x14ac:dyDescent="0.2">
      <c r="B828" s="1"/>
    </row>
    <row r="829" spans="2:2" x14ac:dyDescent="0.2">
      <c r="B829" s="1"/>
    </row>
    <row r="830" spans="2:2" x14ac:dyDescent="0.2">
      <c r="B830" s="1"/>
    </row>
    <row r="831" spans="2:2" x14ac:dyDescent="0.2">
      <c r="B831" s="1"/>
    </row>
    <row r="832" spans="2:2" x14ac:dyDescent="0.2">
      <c r="B832" s="1"/>
    </row>
    <row r="833" spans="2:2" x14ac:dyDescent="0.2">
      <c r="B833" s="1"/>
    </row>
    <row r="834" spans="2:2" x14ac:dyDescent="0.2">
      <c r="B834" s="1"/>
    </row>
    <row r="835" spans="2:2" x14ac:dyDescent="0.2">
      <c r="B835" s="1"/>
    </row>
    <row r="836" spans="2:2" x14ac:dyDescent="0.2">
      <c r="B836" s="1"/>
    </row>
    <row r="837" spans="2:2" x14ac:dyDescent="0.2">
      <c r="B837" s="1"/>
    </row>
    <row r="838" spans="2:2" x14ac:dyDescent="0.2">
      <c r="B838" s="1"/>
    </row>
    <row r="839" spans="2:2" x14ac:dyDescent="0.2">
      <c r="B839" s="1"/>
    </row>
    <row r="840" spans="2:2" x14ac:dyDescent="0.2">
      <c r="B840" s="1"/>
    </row>
    <row r="841" spans="2:2" x14ac:dyDescent="0.2">
      <c r="B841" s="1"/>
    </row>
    <row r="842" spans="2:2" x14ac:dyDescent="0.2">
      <c r="B842" s="1"/>
    </row>
    <row r="843" spans="2:2" x14ac:dyDescent="0.2">
      <c r="B843" s="1"/>
    </row>
    <row r="844" spans="2:2" x14ac:dyDescent="0.2">
      <c r="B844" s="1"/>
    </row>
    <row r="845" spans="2:2" x14ac:dyDescent="0.2">
      <c r="B845" s="1"/>
    </row>
    <row r="846" spans="2:2" x14ac:dyDescent="0.2">
      <c r="B846" s="1"/>
    </row>
    <row r="847" spans="2:2" x14ac:dyDescent="0.2">
      <c r="B847" s="1"/>
    </row>
    <row r="848" spans="2:2" x14ac:dyDescent="0.2">
      <c r="B848" s="1"/>
    </row>
    <row r="849" spans="2:2" x14ac:dyDescent="0.2">
      <c r="B849" s="1"/>
    </row>
    <row r="850" spans="2:2" x14ac:dyDescent="0.2">
      <c r="B850" s="1"/>
    </row>
    <row r="851" spans="2:2" x14ac:dyDescent="0.2">
      <c r="B851" s="1"/>
    </row>
    <row r="852" spans="2:2" x14ac:dyDescent="0.2">
      <c r="B852" s="1"/>
    </row>
    <row r="853" spans="2:2" x14ac:dyDescent="0.2">
      <c r="B853" s="1"/>
    </row>
    <row r="854" spans="2:2" x14ac:dyDescent="0.2">
      <c r="B854" s="1"/>
    </row>
    <row r="855" spans="2:2" x14ac:dyDescent="0.2">
      <c r="B855" s="1"/>
    </row>
    <row r="856" spans="2:2" x14ac:dyDescent="0.2">
      <c r="B856" s="1"/>
    </row>
    <row r="857" spans="2:2" x14ac:dyDescent="0.2">
      <c r="B857" s="1"/>
    </row>
    <row r="858" spans="2:2" x14ac:dyDescent="0.2">
      <c r="B858" s="1"/>
    </row>
    <row r="859" spans="2:2" x14ac:dyDescent="0.2">
      <c r="B859" s="1"/>
    </row>
    <row r="860" spans="2:2" x14ac:dyDescent="0.2">
      <c r="B860" s="1"/>
    </row>
    <row r="861" spans="2:2" x14ac:dyDescent="0.2">
      <c r="B861" s="1"/>
    </row>
    <row r="862" spans="2:2" x14ac:dyDescent="0.2">
      <c r="B862" s="1"/>
    </row>
    <row r="863" spans="2:2" x14ac:dyDescent="0.2">
      <c r="B863" s="1"/>
    </row>
    <row r="864" spans="2:2" x14ac:dyDescent="0.2">
      <c r="B864" s="1"/>
    </row>
    <row r="865" spans="2:2" x14ac:dyDescent="0.2">
      <c r="B865" s="1"/>
    </row>
    <row r="866" spans="2:2" x14ac:dyDescent="0.2">
      <c r="B866" s="1"/>
    </row>
    <row r="867" spans="2:2" x14ac:dyDescent="0.2">
      <c r="B867" s="1"/>
    </row>
    <row r="868" spans="2:2" x14ac:dyDescent="0.2">
      <c r="B868" s="1"/>
    </row>
    <row r="869" spans="2:2" x14ac:dyDescent="0.2">
      <c r="B869" s="1"/>
    </row>
    <row r="870" spans="2:2" x14ac:dyDescent="0.2">
      <c r="B870" s="1"/>
    </row>
    <row r="871" spans="2:2" x14ac:dyDescent="0.2">
      <c r="B871" s="1"/>
    </row>
    <row r="872" spans="2:2" x14ac:dyDescent="0.2">
      <c r="B872" s="1"/>
    </row>
    <row r="873" spans="2:2" x14ac:dyDescent="0.2">
      <c r="B873" s="1"/>
    </row>
    <row r="874" spans="2:2" x14ac:dyDescent="0.2">
      <c r="B874" s="1"/>
    </row>
    <row r="875" spans="2:2" x14ac:dyDescent="0.2">
      <c r="B875" s="1"/>
    </row>
    <row r="876" spans="2:2" x14ac:dyDescent="0.2">
      <c r="B876" s="1"/>
    </row>
    <row r="877" spans="2:2" x14ac:dyDescent="0.2">
      <c r="B877" s="1"/>
    </row>
    <row r="878" spans="2:2" x14ac:dyDescent="0.2">
      <c r="B878" s="1"/>
    </row>
    <row r="879" spans="2:2" x14ac:dyDescent="0.2">
      <c r="B879" s="1"/>
    </row>
    <row r="880" spans="2:2" x14ac:dyDescent="0.2">
      <c r="B880" s="1"/>
    </row>
    <row r="881" spans="2:2" x14ac:dyDescent="0.2">
      <c r="B881" s="1"/>
    </row>
    <row r="882" spans="2:2" x14ac:dyDescent="0.2">
      <c r="B882" s="1"/>
    </row>
    <row r="883" spans="2:2" x14ac:dyDescent="0.2">
      <c r="B883" s="1"/>
    </row>
    <row r="884" spans="2:2" x14ac:dyDescent="0.2">
      <c r="B884" s="1"/>
    </row>
    <row r="885" spans="2:2" x14ac:dyDescent="0.2">
      <c r="B885" s="1"/>
    </row>
    <row r="886" spans="2:2" x14ac:dyDescent="0.2">
      <c r="B886" s="1"/>
    </row>
    <row r="887" spans="2:2" x14ac:dyDescent="0.2">
      <c r="B887" s="1"/>
    </row>
    <row r="888" spans="2:2" x14ac:dyDescent="0.2">
      <c r="B888" s="1"/>
    </row>
    <row r="889" spans="2:2" x14ac:dyDescent="0.2">
      <c r="B889" s="1"/>
    </row>
    <row r="890" spans="2:2" x14ac:dyDescent="0.2">
      <c r="B890" s="1"/>
    </row>
    <row r="891" spans="2:2" x14ac:dyDescent="0.2">
      <c r="B891" s="1"/>
    </row>
    <row r="892" spans="2:2" x14ac:dyDescent="0.2">
      <c r="B892" s="1"/>
    </row>
    <row r="893" spans="2:2" x14ac:dyDescent="0.2">
      <c r="B893" s="1"/>
    </row>
    <row r="894" spans="2:2" x14ac:dyDescent="0.2">
      <c r="B894" s="1"/>
    </row>
    <row r="895" spans="2:2" x14ac:dyDescent="0.2">
      <c r="B895" s="1"/>
    </row>
    <row r="896" spans="2:2" x14ac:dyDescent="0.2">
      <c r="B896" s="1"/>
    </row>
    <row r="897" spans="2:2" x14ac:dyDescent="0.2">
      <c r="B897" s="1"/>
    </row>
    <row r="898" spans="2:2" x14ac:dyDescent="0.2">
      <c r="B898" s="1"/>
    </row>
    <row r="899" spans="2:2" x14ac:dyDescent="0.2">
      <c r="B899" s="1"/>
    </row>
    <row r="900" spans="2:2" x14ac:dyDescent="0.2">
      <c r="B900" s="1"/>
    </row>
    <row r="901" spans="2:2" x14ac:dyDescent="0.2">
      <c r="B901" s="1"/>
    </row>
    <row r="902" spans="2:2" x14ac:dyDescent="0.2">
      <c r="B902" s="1"/>
    </row>
    <row r="903" spans="2:2" x14ac:dyDescent="0.2">
      <c r="B903" s="1"/>
    </row>
    <row r="904" spans="2:2" x14ac:dyDescent="0.2">
      <c r="B904" s="1"/>
    </row>
    <row r="905" spans="2:2" x14ac:dyDescent="0.2">
      <c r="B905" s="1"/>
    </row>
    <row r="906" spans="2:2" x14ac:dyDescent="0.2">
      <c r="B906" s="1"/>
    </row>
    <row r="907" spans="2:2" x14ac:dyDescent="0.2">
      <c r="B907" s="1"/>
    </row>
    <row r="908" spans="2:2" x14ac:dyDescent="0.2">
      <c r="B908" s="1"/>
    </row>
    <row r="909" spans="2:2" x14ac:dyDescent="0.2">
      <c r="B909" s="1"/>
    </row>
    <row r="910" spans="2:2" x14ac:dyDescent="0.2">
      <c r="B910" s="1"/>
    </row>
    <row r="911" spans="2:2" x14ac:dyDescent="0.2">
      <c r="B911" s="1"/>
    </row>
    <row r="912" spans="2:2" x14ac:dyDescent="0.2">
      <c r="B912" s="1"/>
    </row>
    <row r="913" spans="2:2" x14ac:dyDescent="0.2">
      <c r="B913" s="1"/>
    </row>
    <row r="914" spans="2:2" x14ac:dyDescent="0.2">
      <c r="B914" s="1"/>
    </row>
    <row r="915" spans="2:2" x14ac:dyDescent="0.2">
      <c r="B915" s="1"/>
    </row>
    <row r="916" spans="2:2" x14ac:dyDescent="0.2">
      <c r="B916" s="1"/>
    </row>
    <row r="917" spans="2:2" x14ac:dyDescent="0.2">
      <c r="B917" s="1"/>
    </row>
    <row r="918" spans="2:2" x14ac:dyDescent="0.2">
      <c r="B918" s="1"/>
    </row>
    <row r="919" spans="2:2" x14ac:dyDescent="0.2">
      <c r="B919" s="1"/>
    </row>
    <row r="920" spans="2:2" x14ac:dyDescent="0.2">
      <c r="B920" s="1"/>
    </row>
    <row r="921" spans="2:2" x14ac:dyDescent="0.2">
      <c r="B921" s="1"/>
    </row>
    <row r="922" spans="2:2" x14ac:dyDescent="0.2">
      <c r="B922" s="1"/>
    </row>
    <row r="923" spans="2:2" x14ac:dyDescent="0.2">
      <c r="B923" s="1"/>
    </row>
    <row r="924" spans="2:2" x14ac:dyDescent="0.2">
      <c r="B924" s="1"/>
    </row>
    <row r="925" spans="2:2" x14ac:dyDescent="0.2">
      <c r="B925" s="1"/>
    </row>
    <row r="926" spans="2:2" x14ac:dyDescent="0.2">
      <c r="B926" s="1"/>
    </row>
    <row r="927" spans="2:2" x14ac:dyDescent="0.2">
      <c r="B927" s="1"/>
    </row>
    <row r="928" spans="2:2" x14ac:dyDescent="0.2">
      <c r="B928" s="1"/>
    </row>
    <row r="929" spans="2:2" x14ac:dyDescent="0.2">
      <c r="B929" s="1"/>
    </row>
    <row r="930" spans="2:2" x14ac:dyDescent="0.2">
      <c r="B930" s="1"/>
    </row>
    <row r="931" spans="2:2" x14ac:dyDescent="0.2">
      <c r="B931" s="1"/>
    </row>
    <row r="932" spans="2:2" x14ac:dyDescent="0.2">
      <c r="B932" s="1"/>
    </row>
    <row r="933" spans="2:2" x14ac:dyDescent="0.2">
      <c r="B933" s="1"/>
    </row>
    <row r="934" spans="2:2" x14ac:dyDescent="0.2">
      <c r="B934" s="1"/>
    </row>
    <row r="935" spans="2:2" x14ac:dyDescent="0.2">
      <c r="B935" s="1"/>
    </row>
    <row r="936" spans="2:2" x14ac:dyDescent="0.2">
      <c r="B936" s="1"/>
    </row>
    <row r="937" spans="2:2" x14ac:dyDescent="0.2">
      <c r="B937" s="1"/>
    </row>
    <row r="938" spans="2:2" x14ac:dyDescent="0.2">
      <c r="B938" s="1"/>
    </row>
    <row r="939" spans="2:2" x14ac:dyDescent="0.2">
      <c r="B939" s="1"/>
    </row>
    <row r="940" spans="2:2" x14ac:dyDescent="0.2">
      <c r="B940" s="1"/>
    </row>
    <row r="941" spans="2:2" x14ac:dyDescent="0.2">
      <c r="B941" s="1"/>
    </row>
    <row r="942" spans="2:2" x14ac:dyDescent="0.2">
      <c r="B942" s="1"/>
    </row>
    <row r="943" spans="2:2" x14ac:dyDescent="0.2">
      <c r="B943" s="1"/>
    </row>
    <row r="944" spans="2:2" x14ac:dyDescent="0.2">
      <c r="B944" s="1"/>
    </row>
    <row r="945" spans="2:2" x14ac:dyDescent="0.2">
      <c r="B945" s="1"/>
    </row>
    <row r="946" spans="2:2" x14ac:dyDescent="0.2">
      <c r="B946" s="1"/>
    </row>
    <row r="947" spans="2:2" x14ac:dyDescent="0.2">
      <c r="B947" s="1"/>
    </row>
    <row r="948" spans="2:2" x14ac:dyDescent="0.2">
      <c r="B948" s="1"/>
    </row>
    <row r="949" spans="2:2" x14ac:dyDescent="0.2">
      <c r="B949" s="1"/>
    </row>
    <row r="950" spans="2:2" x14ac:dyDescent="0.2">
      <c r="B950" s="1"/>
    </row>
    <row r="951" spans="2:2" x14ac:dyDescent="0.2">
      <c r="B951" s="1"/>
    </row>
    <row r="952" spans="2:2" x14ac:dyDescent="0.2">
      <c r="B952" s="1"/>
    </row>
    <row r="953" spans="2:2" x14ac:dyDescent="0.2">
      <c r="B953" s="1"/>
    </row>
    <row r="954" spans="2:2" x14ac:dyDescent="0.2">
      <c r="B954" s="1"/>
    </row>
    <row r="955" spans="2:2" x14ac:dyDescent="0.2">
      <c r="B955" s="1"/>
    </row>
    <row r="956" spans="2:2" x14ac:dyDescent="0.2">
      <c r="B956" s="1"/>
    </row>
    <row r="957" spans="2:2" x14ac:dyDescent="0.2">
      <c r="B957" s="1"/>
    </row>
    <row r="958" spans="2:2" x14ac:dyDescent="0.2">
      <c r="B958" s="1"/>
    </row>
    <row r="959" spans="2:2" x14ac:dyDescent="0.2">
      <c r="B959" s="1"/>
    </row>
    <row r="960" spans="2:2" x14ac:dyDescent="0.2">
      <c r="B960" s="1"/>
    </row>
    <row r="961" spans="2:2" x14ac:dyDescent="0.2">
      <c r="B961" s="1"/>
    </row>
    <row r="962" spans="2:2" x14ac:dyDescent="0.2">
      <c r="B962" s="1"/>
    </row>
    <row r="963" spans="2:2" x14ac:dyDescent="0.2">
      <c r="B963" s="1"/>
    </row>
    <row r="964" spans="2:2" x14ac:dyDescent="0.2">
      <c r="B964" s="1"/>
    </row>
    <row r="965" spans="2:2" x14ac:dyDescent="0.2">
      <c r="B965" s="1"/>
    </row>
    <row r="966" spans="2:2" x14ac:dyDescent="0.2">
      <c r="B966" s="1"/>
    </row>
    <row r="967" spans="2:2" x14ac:dyDescent="0.2">
      <c r="B967" s="1"/>
    </row>
    <row r="968" spans="2:2" x14ac:dyDescent="0.2">
      <c r="B968" s="1"/>
    </row>
    <row r="969" spans="2:2" x14ac:dyDescent="0.2">
      <c r="B969" s="1"/>
    </row>
    <row r="970" spans="2:2" x14ac:dyDescent="0.2">
      <c r="B970" s="1"/>
    </row>
    <row r="971" spans="2:2" x14ac:dyDescent="0.2">
      <c r="B971" s="1"/>
    </row>
    <row r="972" spans="2:2" x14ac:dyDescent="0.2">
      <c r="B972" s="1"/>
    </row>
    <row r="973" spans="2:2" x14ac:dyDescent="0.2">
      <c r="B973" s="1"/>
    </row>
    <row r="974" spans="2:2" x14ac:dyDescent="0.2">
      <c r="B974" s="1"/>
    </row>
    <row r="975" spans="2:2" x14ac:dyDescent="0.2">
      <c r="B975" s="1"/>
    </row>
    <row r="976" spans="2:2" x14ac:dyDescent="0.2">
      <c r="B976" s="1"/>
    </row>
    <row r="977" spans="2:2" x14ac:dyDescent="0.2">
      <c r="B977" s="1"/>
    </row>
    <row r="978" spans="2:2" x14ac:dyDescent="0.2">
      <c r="B978" s="1"/>
    </row>
    <row r="979" spans="2:2" x14ac:dyDescent="0.2">
      <c r="B979" s="1"/>
    </row>
    <row r="980" spans="2:2" x14ac:dyDescent="0.2">
      <c r="B980" s="1"/>
    </row>
    <row r="981" spans="2:2" x14ac:dyDescent="0.2">
      <c r="B981" s="1"/>
    </row>
    <row r="982" spans="2:2" x14ac:dyDescent="0.2">
      <c r="B982" s="1"/>
    </row>
    <row r="983" spans="2:2" x14ac:dyDescent="0.2">
      <c r="B983" s="1"/>
    </row>
    <row r="984" spans="2:2" x14ac:dyDescent="0.2">
      <c r="B984" s="1"/>
    </row>
    <row r="985" spans="2:2" x14ac:dyDescent="0.2">
      <c r="B985" s="1"/>
    </row>
    <row r="986" spans="2:2" x14ac:dyDescent="0.2">
      <c r="B986" s="1"/>
    </row>
    <row r="987" spans="2:2" x14ac:dyDescent="0.2">
      <c r="B987" s="1"/>
    </row>
    <row r="988" spans="2:2" x14ac:dyDescent="0.2">
      <c r="B988" s="1"/>
    </row>
    <row r="989" spans="2:2" x14ac:dyDescent="0.2">
      <c r="B989" s="1"/>
    </row>
    <row r="990" spans="2:2" x14ac:dyDescent="0.2">
      <c r="B990" s="1"/>
    </row>
    <row r="991" spans="2:2" x14ac:dyDescent="0.2">
      <c r="B991" s="1"/>
    </row>
  </sheetData>
  <dataValidations count="1">
    <dataValidation type="custom" allowBlank="1" showDropDown="1" sqref="K16:K18 O16:O17 Q16:Q17 M16:M17 E17:I18 E16:F16 H16:I16" xr:uid="{AD8417FE-0837-4E48-A424-F27CA5BC17F2}">
      <formula1>AND(ISNUMBER(E16),(NOT(OR(NOT(ISERROR(DATEVALUE(E16))), AND(ISNUMBER(E16), LEFT(CELL("format", E16))="D")))))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FB0B3-E778-4592-AE8E-9F9C370FAB5F}">
  <sheetPr>
    <tabColor rgb="FFFFFF00"/>
    <outlinePr summaryBelow="0" summaryRight="0"/>
  </sheetPr>
  <dimension ref="A1:AN991"/>
  <sheetViews>
    <sheetView tabSelected="1" topLeftCell="A3" workbookViewId="0">
      <pane xSplit="1" topLeftCell="B1" activePane="topRight" state="frozen"/>
      <selection pane="topRight" activeCell="N24" sqref="N24"/>
    </sheetView>
  </sheetViews>
  <sheetFormatPr baseColWidth="10" defaultColWidth="12.5703125" defaultRowHeight="12.75" x14ac:dyDescent="0.2"/>
  <cols>
    <col min="1" max="1" width="20.42578125" customWidth="1"/>
    <col min="2" max="2" width="9.42578125" customWidth="1"/>
    <col min="3" max="3" width="2.42578125" customWidth="1"/>
    <col min="4" max="4" width="11.85546875" style="5" customWidth="1"/>
    <col min="5" max="8" width="13" style="5" hidden="1" customWidth="1"/>
    <col min="9" max="9" width="11.28515625" style="5" hidden="1" customWidth="1"/>
    <col min="10" max="10" width="13.140625" style="5" bestFit="1" customWidth="1"/>
    <col min="11" max="11" width="12.7109375" bestFit="1" customWidth="1"/>
    <col min="12" max="22" width="13" bestFit="1" customWidth="1"/>
    <col min="23" max="27" width="12.7109375" bestFit="1" customWidth="1"/>
    <col min="28" max="28" width="14" bestFit="1" customWidth="1"/>
    <col min="29" max="33" width="12.7109375" bestFit="1" customWidth="1"/>
    <col min="34" max="34" width="13.85546875" bestFit="1" customWidth="1"/>
    <col min="35" max="36" width="12.7109375" bestFit="1" customWidth="1"/>
    <col min="40" max="40" width="13" bestFit="1" customWidth="1"/>
  </cols>
  <sheetData>
    <row r="1" spans="1:40" x14ac:dyDescent="0.2">
      <c r="B1" s="1"/>
    </row>
    <row r="2" spans="1:40" s="8" customFormat="1" ht="15" customHeight="1" x14ac:dyDescent="0.2">
      <c r="B2" s="3"/>
      <c r="D2" s="6"/>
      <c r="E2" s="6" t="s">
        <v>0</v>
      </c>
      <c r="F2" s="6" t="s">
        <v>1</v>
      </c>
      <c r="G2" s="6" t="s">
        <v>2</v>
      </c>
      <c r="H2" s="6" t="s">
        <v>3</v>
      </c>
      <c r="I2" s="25" t="s">
        <v>4</v>
      </c>
      <c r="J2" s="25" t="s">
        <v>5</v>
      </c>
      <c r="K2" s="26" t="s">
        <v>6</v>
      </c>
      <c r="L2" s="26" t="s">
        <v>7</v>
      </c>
      <c r="M2" s="10" t="s">
        <v>8</v>
      </c>
      <c r="N2" s="10" t="s">
        <v>9</v>
      </c>
      <c r="O2" s="10" t="s">
        <v>10</v>
      </c>
      <c r="P2" s="10" t="s">
        <v>11</v>
      </c>
      <c r="Q2" s="10" t="s">
        <v>12</v>
      </c>
      <c r="R2" s="10" t="s">
        <v>13</v>
      </c>
      <c r="S2" s="50" t="s">
        <v>69</v>
      </c>
      <c r="T2" s="51">
        <v>46052</v>
      </c>
      <c r="U2" s="51">
        <v>46068</v>
      </c>
      <c r="V2" s="51">
        <v>46081</v>
      </c>
      <c r="W2" s="52">
        <v>46096</v>
      </c>
      <c r="X2" s="51">
        <v>46109</v>
      </c>
      <c r="Y2" s="51">
        <v>46127</v>
      </c>
      <c r="Z2" s="51">
        <v>46140</v>
      </c>
      <c r="AA2" s="51">
        <v>46157</v>
      </c>
      <c r="AB2" s="51">
        <v>46170</v>
      </c>
      <c r="AC2" s="51">
        <v>46188</v>
      </c>
      <c r="AD2" s="51">
        <v>46203</v>
      </c>
      <c r="AE2" s="51">
        <v>46249</v>
      </c>
      <c r="AF2" s="51">
        <v>46264</v>
      </c>
      <c r="AG2" s="51">
        <v>46280</v>
      </c>
      <c r="AH2" s="51">
        <v>46295</v>
      </c>
      <c r="AI2" s="51">
        <v>46310</v>
      </c>
      <c r="AJ2" s="51">
        <v>46325</v>
      </c>
      <c r="AK2" s="51">
        <v>46341</v>
      </c>
      <c r="AL2" s="51">
        <v>46356</v>
      </c>
      <c r="AM2" s="51">
        <v>46371</v>
      </c>
      <c r="AN2" s="51">
        <v>46386</v>
      </c>
    </row>
    <row r="3" spans="1:40" ht="16.5" customHeight="1" x14ac:dyDescent="0.2">
      <c r="B3" s="1"/>
      <c r="D3" s="5" t="s">
        <v>14</v>
      </c>
      <c r="E3" s="5">
        <v>1300000</v>
      </c>
      <c r="F3" s="5">
        <f>875000+875000</f>
        <v>1750000</v>
      </c>
      <c r="G3" s="21">
        <f>875000+1041000+200000</f>
        <v>2116000</v>
      </c>
      <c r="H3" s="5">
        <f>875000+1200000+100000+300000</f>
        <v>2475000</v>
      </c>
      <c r="I3" s="27">
        <f>775000+1300000+250000</f>
        <v>2325000</v>
      </c>
      <c r="J3" s="27">
        <f>875000+1500000+787000+260000+450000+290000+500000</f>
        <v>4662000</v>
      </c>
      <c r="K3" s="27">
        <f>875000+1500000</f>
        <v>2375000</v>
      </c>
      <c r="L3" s="27">
        <f>875000+1500000+525000</f>
        <v>2900000</v>
      </c>
      <c r="M3" s="5">
        <f>875000+1500000</f>
        <v>2375000</v>
      </c>
      <c r="N3" s="5">
        <f>875000+1500000+260000</f>
        <v>2635000</v>
      </c>
      <c r="O3" s="5">
        <f>875000+1500000</f>
        <v>2375000</v>
      </c>
      <c r="P3" s="5">
        <f>875000+1500000</f>
        <v>2375000</v>
      </c>
      <c r="Q3" s="5">
        <f>875000+1500000</f>
        <v>2375000</v>
      </c>
      <c r="R3" s="5">
        <f>875000+1500000+1500000</f>
        <v>3875000</v>
      </c>
      <c r="S3" s="5">
        <f t="shared" ref="S3:AN3" si="0">875000+1500000</f>
        <v>2375000</v>
      </c>
      <c r="T3" s="5">
        <f t="shared" si="0"/>
        <v>2375000</v>
      </c>
      <c r="U3" s="5">
        <f t="shared" si="0"/>
        <v>2375000</v>
      </c>
      <c r="V3" s="5">
        <f t="shared" si="0"/>
        <v>2375000</v>
      </c>
      <c r="W3" s="46">
        <f t="shared" si="0"/>
        <v>2375000</v>
      </c>
      <c r="X3" s="5">
        <f t="shared" si="0"/>
        <v>2375000</v>
      </c>
      <c r="Y3" s="5">
        <f t="shared" si="0"/>
        <v>2375000</v>
      </c>
      <c r="Z3" s="5">
        <f t="shared" si="0"/>
        <v>2375000</v>
      </c>
      <c r="AA3" s="5">
        <f t="shared" si="0"/>
        <v>2375000</v>
      </c>
      <c r="AB3" s="5">
        <f t="shared" si="0"/>
        <v>2375000</v>
      </c>
      <c r="AC3" s="5">
        <f t="shared" si="0"/>
        <v>2375000</v>
      </c>
      <c r="AD3" s="5">
        <f t="shared" si="0"/>
        <v>2375000</v>
      </c>
      <c r="AE3" s="5">
        <f t="shared" si="0"/>
        <v>2375000</v>
      </c>
      <c r="AF3" s="5">
        <f t="shared" si="0"/>
        <v>2375000</v>
      </c>
      <c r="AG3" s="5">
        <f t="shared" si="0"/>
        <v>2375000</v>
      </c>
      <c r="AH3" s="5">
        <f t="shared" si="0"/>
        <v>2375000</v>
      </c>
      <c r="AI3" s="5">
        <f t="shared" si="0"/>
        <v>2375000</v>
      </c>
      <c r="AJ3" s="5">
        <f t="shared" si="0"/>
        <v>2375000</v>
      </c>
      <c r="AK3" s="5">
        <f t="shared" si="0"/>
        <v>2375000</v>
      </c>
      <c r="AL3" s="5">
        <f t="shared" si="0"/>
        <v>2375000</v>
      </c>
      <c r="AM3" s="5">
        <f t="shared" si="0"/>
        <v>2375000</v>
      </c>
      <c r="AN3" s="5">
        <f t="shared" si="0"/>
        <v>2375000</v>
      </c>
    </row>
    <row r="4" spans="1:40" s="5" customFormat="1" ht="15" customHeight="1" x14ac:dyDescent="0.2">
      <c r="A4" s="9" t="s">
        <v>15</v>
      </c>
      <c r="B4" s="9"/>
      <c r="D4" s="5" t="s">
        <v>16</v>
      </c>
      <c r="I4" s="27"/>
      <c r="J4" s="27"/>
      <c r="K4" s="27"/>
      <c r="L4" s="27"/>
      <c r="W4" s="46"/>
    </row>
    <row r="5" spans="1:40" s="5" customFormat="1" ht="15" customHeight="1" x14ac:dyDescent="0.2">
      <c r="A5" s="9" t="s">
        <v>79</v>
      </c>
      <c r="B5" s="9">
        <v>90000</v>
      </c>
      <c r="E5" s="5">
        <v>90000</v>
      </c>
      <c r="F5" s="5">
        <v>90000</v>
      </c>
      <c r="I5" s="27">
        <v>90000</v>
      </c>
      <c r="J5" s="27">
        <v>90000</v>
      </c>
      <c r="K5" s="27"/>
      <c r="L5" s="27"/>
      <c r="M5" s="5">
        <v>266000</v>
      </c>
      <c r="O5" s="5">
        <v>266000</v>
      </c>
      <c r="Q5" s="5">
        <v>266000</v>
      </c>
      <c r="S5" s="5">
        <v>266000</v>
      </c>
      <c r="U5" s="5">
        <v>266000</v>
      </c>
      <c r="W5" s="46">
        <v>266000</v>
      </c>
      <c r="X5" s="5">
        <v>90000</v>
      </c>
      <c r="Z5" s="5">
        <v>90000</v>
      </c>
      <c r="AB5" s="5">
        <v>90000</v>
      </c>
      <c r="AD5" s="5">
        <v>90000</v>
      </c>
      <c r="AF5" s="5">
        <v>90000</v>
      </c>
      <c r="AH5" s="5">
        <v>90000</v>
      </c>
      <c r="AJ5" s="5">
        <v>90000</v>
      </c>
      <c r="AL5" s="5">
        <v>90000</v>
      </c>
      <c r="AN5" s="5">
        <v>90000</v>
      </c>
    </row>
    <row r="6" spans="1:40" s="5" customFormat="1" ht="15" customHeight="1" x14ac:dyDescent="0.2">
      <c r="A6" s="9" t="s">
        <v>18</v>
      </c>
      <c r="B6" s="9">
        <v>40000</v>
      </c>
      <c r="E6" s="5">
        <v>40000</v>
      </c>
      <c r="G6" s="22">
        <v>40000</v>
      </c>
      <c r="I6" s="27">
        <v>40000</v>
      </c>
      <c r="J6" s="27"/>
      <c r="K6" s="27">
        <v>40000</v>
      </c>
      <c r="L6" s="27"/>
      <c r="M6" s="5">
        <v>40000</v>
      </c>
      <c r="O6" s="5">
        <v>40000</v>
      </c>
      <c r="Q6" s="5">
        <v>40000</v>
      </c>
      <c r="S6" s="5">
        <v>40000</v>
      </c>
      <c r="U6" s="5">
        <v>40000</v>
      </c>
      <c r="W6" s="46">
        <v>40000</v>
      </c>
      <c r="Y6" s="5">
        <v>40000</v>
      </c>
      <c r="AA6" s="5">
        <v>40000</v>
      </c>
      <c r="AC6" s="5">
        <v>40000</v>
      </c>
      <c r="AE6" s="5">
        <v>40000</v>
      </c>
      <c r="AG6" s="5">
        <v>40000</v>
      </c>
      <c r="AI6" s="5">
        <v>40000</v>
      </c>
      <c r="AK6" s="5">
        <v>40000</v>
      </c>
      <c r="AM6" s="5">
        <v>40000</v>
      </c>
    </row>
    <row r="7" spans="1:40" s="5" customFormat="1" ht="15" customHeight="1" x14ac:dyDescent="0.2">
      <c r="A7" s="9" t="s">
        <v>19</v>
      </c>
      <c r="B7" s="9">
        <v>142000</v>
      </c>
      <c r="E7" s="5">
        <v>142000</v>
      </c>
      <c r="G7" s="22">
        <v>142000</v>
      </c>
      <c r="I7" s="27">
        <v>142000</v>
      </c>
      <c r="J7" s="27"/>
      <c r="K7" s="27">
        <v>142000</v>
      </c>
      <c r="L7" s="27"/>
      <c r="M7" s="5">
        <v>142000</v>
      </c>
      <c r="O7" s="5">
        <v>142000</v>
      </c>
      <c r="Q7" s="5">
        <v>142000</v>
      </c>
      <c r="W7" s="46"/>
    </row>
    <row r="8" spans="1:40" s="5" customFormat="1" ht="15" customHeight="1" x14ac:dyDescent="0.2">
      <c r="A8" s="9" t="s">
        <v>20</v>
      </c>
      <c r="B8" s="9">
        <v>45000</v>
      </c>
      <c r="D8" s="5">
        <v>343600</v>
      </c>
      <c r="I8" s="27"/>
      <c r="J8" s="27">
        <v>94600</v>
      </c>
      <c r="K8" s="27">
        <v>97800</v>
      </c>
      <c r="L8" s="27">
        <v>97800</v>
      </c>
      <c r="M8" s="5">
        <v>97800</v>
      </c>
      <c r="N8" s="5">
        <v>97800</v>
      </c>
      <c r="O8" s="5">
        <v>97800</v>
      </c>
      <c r="P8" s="5">
        <v>45000</v>
      </c>
      <c r="R8" s="5">
        <v>45000</v>
      </c>
      <c r="T8" s="5">
        <v>45000</v>
      </c>
      <c r="V8" s="5">
        <v>45000</v>
      </c>
      <c r="W8" s="46"/>
      <c r="X8" s="5">
        <v>45000</v>
      </c>
      <c r="Z8" s="5">
        <v>45000</v>
      </c>
      <c r="AB8" s="5">
        <v>45000</v>
      </c>
      <c r="AD8" s="5">
        <v>45000</v>
      </c>
      <c r="AF8" s="5">
        <v>45000</v>
      </c>
      <c r="AH8" s="5">
        <v>45000</v>
      </c>
      <c r="AJ8" s="5">
        <v>45000</v>
      </c>
      <c r="AL8" s="5">
        <v>45000</v>
      </c>
      <c r="AN8" s="5">
        <v>45000</v>
      </c>
    </row>
    <row r="9" spans="1:40" s="5" customFormat="1" ht="15" customHeight="1" x14ac:dyDescent="0.2">
      <c r="A9" s="9" t="s">
        <v>21</v>
      </c>
      <c r="B9" s="9">
        <v>230000</v>
      </c>
      <c r="D9" s="5">
        <f>1396000+229000</f>
        <v>1625000</v>
      </c>
      <c r="I9" s="27"/>
      <c r="J9" s="27">
        <v>300000</v>
      </c>
      <c r="K9" s="27"/>
      <c r="L9" s="27">
        <v>300000</v>
      </c>
      <c r="N9" s="5">
        <v>300000</v>
      </c>
      <c r="P9" s="5">
        <v>300000</v>
      </c>
      <c r="R9" s="5">
        <v>300000</v>
      </c>
      <c r="W9" s="46"/>
    </row>
    <row r="10" spans="1:40" s="5" customFormat="1" ht="15" customHeight="1" x14ac:dyDescent="0.2">
      <c r="A10" s="9" t="s">
        <v>22</v>
      </c>
      <c r="B10" s="9">
        <v>760000</v>
      </c>
      <c r="H10" s="22">
        <v>760000</v>
      </c>
      <c r="I10" s="27"/>
      <c r="J10" s="27">
        <v>760000</v>
      </c>
      <c r="K10" s="27"/>
      <c r="L10" s="27">
        <v>760000</v>
      </c>
      <c r="N10" s="5">
        <v>760000</v>
      </c>
      <c r="P10" s="5">
        <v>760000</v>
      </c>
      <c r="R10" s="5">
        <v>760000</v>
      </c>
      <c r="T10" s="5">
        <v>760000</v>
      </c>
      <c r="V10" s="5">
        <v>760000</v>
      </c>
      <c r="W10" s="46"/>
      <c r="X10" s="5">
        <v>760000</v>
      </c>
      <c r="Z10" s="5">
        <v>760000</v>
      </c>
      <c r="AB10" s="5">
        <v>760000</v>
      </c>
      <c r="AD10" s="5">
        <v>760000</v>
      </c>
      <c r="AF10" s="5">
        <v>760000</v>
      </c>
      <c r="AH10" s="5">
        <v>760000</v>
      </c>
      <c r="AJ10" s="5">
        <v>760000</v>
      </c>
      <c r="AL10" s="5">
        <v>760000</v>
      </c>
      <c r="AN10" s="5">
        <v>760000</v>
      </c>
    </row>
    <row r="11" spans="1:40" s="5" customFormat="1" ht="15" customHeight="1" x14ac:dyDescent="0.2">
      <c r="A11" s="9" t="s">
        <v>23</v>
      </c>
      <c r="B11" s="9"/>
      <c r="E11" s="5">
        <v>180000</v>
      </c>
      <c r="F11" s="5">
        <v>63000</v>
      </c>
      <c r="G11" s="5">
        <v>15000</v>
      </c>
      <c r="I11" s="27">
        <v>670000</v>
      </c>
      <c r="J11" s="27">
        <v>20000</v>
      </c>
      <c r="K11" s="27"/>
      <c r="L11" s="27">
        <v>20000</v>
      </c>
      <c r="W11" s="46"/>
      <c r="Y11" s="5">
        <v>80000</v>
      </c>
      <c r="Z11" s="5">
        <v>30000</v>
      </c>
      <c r="AA11" s="5">
        <v>400000</v>
      </c>
      <c r="AB11" s="5">
        <v>30000</v>
      </c>
      <c r="AC11" s="5">
        <v>400000</v>
      </c>
      <c r="AD11" s="5">
        <v>30000</v>
      </c>
      <c r="AE11" s="5">
        <v>400000</v>
      </c>
      <c r="AF11" s="5">
        <v>30000</v>
      </c>
      <c r="AG11" s="5">
        <v>400000</v>
      </c>
      <c r="AH11" s="5">
        <v>30000</v>
      </c>
      <c r="AI11" s="5">
        <v>400000</v>
      </c>
      <c r="AJ11" s="5">
        <v>30000</v>
      </c>
      <c r="AK11" s="5">
        <v>400000</v>
      </c>
      <c r="AL11" s="5">
        <v>30000</v>
      </c>
      <c r="AM11" s="5">
        <v>400000</v>
      </c>
      <c r="AN11" s="5">
        <v>30000</v>
      </c>
    </row>
    <row r="12" spans="1:40" s="5" customFormat="1" ht="15" customHeight="1" x14ac:dyDescent="0.2">
      <c r="A12" s="9" t="s">
        <v>24</v>
      </c>
      <c r="B12" s="9"/>
      <c r="G12" s="20" t="s">
        <v>25</v>
      </c>
      <c r="I12" s="27"/>
      <c r="J12" s="27"/>
      <c r="K12" s="27">
        <v>400000</v>
      </c>
      <c r="L12" s="27"/>
      <c r="M12" s="5">
        <v>400000</v>
      </c>
      <c r="O12" s="5">
        <v>400000</v>
      </c>
      <c r="Q12" s="5">
        <v>400000</v>
      </c>
      <c r="S12" s="5">
        <v>400000</v>
      </c>
      <c r="U12" s="5">
        <v>400000</v>
      </c>
      <c r="W12" s="46">
        <v>400000</v>
      </c>
      <c r="Y12" s="5">
        <v>400000</v>
      </c>
      <c r="AA12" s="5">
        <v>400000</v>
      </c>
      <c r="AC12" s="5">
        <v>400000</v>
      </c>
      <c r="AE12" s="5">
        <v>400000</v>
      </c>
      <c r="AG12" s="5">
        <v>400000</v>
      </c>
      <c r="AI12" s="5">
        <v>400000</v>
      </c>
      <c r="AK12" s="5">
        <v>400000</v>
      </c>
      <c r="AM12" s="5">
        <v>400000</v>
      </c>
    </row>
    <row r="13" spans="1:40" s="5" customFormat="1" ht="15" customHeight="1" x14ac:dyDescent="0.2">
      <c r="A13" s="9" t="s">
        <v>26</v>
      </c>
      <c r="B13" s="9">
        <v>250000</v>
      </c>
      <c r="E13" s="5">
        <v>250000</v>
      </c>
      <c r="F13" s="5">
        <v>250000</v>
      </c>
      <c r="G13" s="22">
        <v>400000</v>
      </c>
      <c r="H13" s="22">
        <v>250000</v>
      </c>
      <c r="I13" s="27">
        <v>400000</v>
      </c>
      <c r="J13" s="27">
        <v>258000</v>
      </c>
      <c r="K13" s="27">
        <v>400000</v>
      </c>
      <c r="L13" s="27">
        <v>250000</v>
      </c>
      <c r="N13" s="5">
        <v>250000</v>
      </c>
      <c r="P13" s="5">
        <v>250000</v>
      </c>
      <c r="R13" s="5">
        <v>250000</v>
      </c>
      <c r="T13" s="5">
        <v>250000</v>
      </c>
      <c r="V13" s="5">
        <v>250000</v>
      </c>
      <c r="W13" s="46"/>
      <c r="X13" s="5">
        <v>450000</v>
      </c>
      <c r="Z13" s="5">
        <v>250000</v>
      </c>
      <c r="AB13" s="5">
        <v>250000</v>
      </c>
      <c r="AD13" s="5">
        <v>250000</v>
      </c>
      <c r="AF13" s="5">
        <v>250000</v>
      </c>
      <c r="AH13" s="5">
        <v>250000</v>
      </c>
      <c r="AJ13" s="5">
        <v>250000</v>
      </c>
      <c r="AL13" s="5">
        <v>250000</v>
      </c>
      <c r="AN13" s="5">
        <v>250000</v>
      </c>
    </row>
    <row r="14" spans="1:40" s="5" customFormat="1" ht="15" customHeight="1" x14ac:dyDescent="0.2">
      <c r="A14" s="9" t="s">
        <v>27</v>
      </c>
      <c r="B14" s="9">
        <v>30000</v>
      </c>
      <c r="E14" s="5">
        <v>50000</v>
      </c>
      <c r="G14" s="22">
        <v>50000</v>
      </c>
      <c r="I14" s="27">
        <v>50000</v>
      </c>
      <c r="J14" s="27"/>
      <c r="K14" s="27">
        <v>50000</v>
      </c>
      <c r="L14" s="27"/>
      <c r="M14" s="5">
        <v>50000</v>
      </c>
      <c r="O14" s="5">
        <v>50000</v>
      </c>
      <c r="Q14" s="5">
        <v>50000</v>
      </c>
      <c r="S14" s="5">
        <v>50000</v>
      </c>
      <c r="U14" s="5">
        <v>50000</v>
      </c>
      <c r="W14" s="46">
        <v>50000</v>
      </c>
      <c r="Y14" s="5">
        <v>50000</v>
      </c>
      <c r="AA14" s="5">
        <v>50000</v>
      </c>
      <c r="AC14" s="5">
        <v>50000</v>
      </c>
      <c r="AE14" s="5">
        <v>50000</v>
      </c>
      <c r="AG14" s="5">
        <v>50000</v>
      </c>
      <c r="AI14" s="5">
        <v>50000</v>
      </c>
      <c r="AK14" s="5">
        <v>50000</v>
      </c>
      <c r="AM14" s="5">
        <v>50000</v>
      </c>
    </row>
    <row r="15" spans="1:40" s="5" customFormat="1" ht="15" hidden="1" customHeight="1" x14ac:dyDescent="0.2">
      <c r="A15" s="9" t="s">
        <v>28</v>
      </c>
      <c r="B15" s="43"/>
      <c r="E15" s="5">
        <v>125000</v>
      </c>
      <c r="F15" s="5">
        <v>125000</v>
      </c>
      <c r="G15" s="22">
        <v>125000</v>
      </c>
      <c r="H15" s="5">
        <v>125000</v>
      </c>
      <c r="I15" s="27"/>
      <c r="J15" s="27"/>
      <c r="K15" s="27"/>
      <c r="L15" s="27"/>
      <c r="W15" s="46"/>
    </row>
    <row r="16" spans="1:40" s="5" customFormat="1" ht="15" customHeight="1" x14ac:dyDescent="0.2">
      <c r="A16" s="9" t="s">
        <v>29</v>
      </c>
      <c r="B16" s="9"/>
      <c r="H16" s="22">
        <v>275000</v>
      </c>
      <c r="I16" s="27"/>
      <c r="J16" s="27">
        <v>355000</v>
      </c>
      <c r="K16" s="27"/>
      <c r="L16" s="27">
        <v>355000</v>
      </c>
      <c r="N16" s="5">
        <v>355000</v>
      </c>
      <c r="P16" s="5">
        <v>355000</v>
      </c>
      <c r="R16" s="5">
        <v>355000</v>
      </c>
      <c r="W16" s="46"/>
    </row>
    <row r="17" spans="1:40" s="5" customFormat="1" ht="15" customHeight="1" x14ac:dyDescent="0.2">
      <c r="A17" s="9" t="s">
        <v>30</v>
      </c>
      <c r="B17" s="43"/>
      <c r="E17" s="5">
        <f>40000</f>
        <v>40000</v>
      </c>
      <c r="F17" s="5">
        <f>100000+400000+40000+314000+54000</f>
        <v>908000</v>
      </c>
      <c r="G17" s="5">
        <f>103000+314000+40000+160000</f>
        <v>617000</v>
      </c>
      <c r="H17" s="22">
        <f>180000+100000+40000</f>
        <v>320000</v>
      </c>
      <c r="I17" s="27">
        <f>103000+40000+270000+140000+68000+80000</f>
        <v>701000</v>
      </c>
      <c r="J17" s="27">
        <f>380000+100000+582000+140000+40000+130000+315000+310000+100000</f>
        <v>2097000</v>
      </c>
      <c r="K17" s="27">
        <f>130000+140000+240000+315000</f>
        <v>825000</v>
      </c>
      <c r="L17" s="27">
        <f>360000+100000+140000+580000</f>
        <v>1180000</v>
      </c>
      <c r="M17" s="5">
        <v>500000</v>
      </c>
      <c r="N17" s="5">
        <f>340000+100000</f>
        <v>440000</v>
      </c>
      <c r="W17" s="46"/>
    </row>
    <row r="18" spans="1:40" s="5" customFormat="1" ht="15" hidden="1" customHeight="1" x14ac:dyDescent="0.2">
      <c r="A18" s="9" t="s">
        <v>31</v>
      </c>
      <c r="B18" s="43"/>
      <c r="G18" s="22">
        <v>250000</v>
      </c>
      <c r="H18" s="22">
        <v>470000</v>
      </c>
      <c r="I18" s="27"/>
      <c r="J18" s="27"/>
      <c r="K18" s="27"/>
      <c r="L18" s="27"/>
      <c r="W18" s="46"/>
      <c r="Y18" s="5">
        <v>500000</v>
      </c>
      <c r="AA18" s="5">
        <v>500000</v>
      </c>
      <c r="AC18" s="5">
        <v>500000</v>
      </c>
      <c r="AE18" s="5">
        <v>500000</v>
      </c>
      <c r="AG18" s="5">
        <v>500000</v>
      </c>
      <c r="AI18" s="5">
        <v>500000</v>
      </c>
      <c r="AK18" s="5">
        <v>500000</v>
      </c>
      <c r="AM18" s="5">
        <v>500000</v>
      </c>
    </row>
    <row r="19" spans="1:40" ht="13.5" customHeight="1" x14ac:dyDescent="0.2">
      <c r="B19" s="3">
        <f>SUM(B5:B16)</f>
        <v>1587000</v>
      </c>
      <c r="D19" s="6">
        <v>1882600</v>
      </c>
      <c r="E19" s="7">
        <v>361000</v>
      </c>
      <c r="F19" s="6">
        <f>+F3-SUM(F4:F17)</f>
        <v>314000</v>
      </c>
      <c r="G19" s="12">
        <f t="shared" ref="G19:AN19" si="1">+G3-SUM(G4:G18)</f>
        <v>477000</v>
      </c>
      <c r="H19" s="12">
        <f t="shared" ref="H19:L19" si="2">+H3-SUM(H4:H18)</f>
        <v>275000</v>
      </c>
      <c r="I19" s="25">
        <f>+I3-SUM(I4:I18)</f>
        <v>232000</v>
      </c>
      <c r="J19" s="25">
        <f>+J3-SUM(J4:J18)</f>
        <v>687400</v>
      </c>
      <c r="K19" s="25">
        <f>+K3-SUM(K4:K18)</f>
        <v>420200</v>
      </c>
      <c r="L19" s="25">
        <f>+L3-SUM(L4:L18)</f>
        <v>-62800</v>
      </c>
      <c r="M19" s="12">
        <f>+M3-SUM(M4:M18)</f>
        <v>879200</v>
      </c>
      <c r="N19" s="12">
        <f>+N3-SUM(N4:N18)</f>
        <v>432200</v>
      </c>
      <c r="O19" s="12">
        <f>+O3-SUM(O4:O18)</f>
        <v>1379200</v>
      </c>
      <c r="P19" s="12">
        <f>+P3-SUM(P4:P18)</f>
        <v>665000</v>
      </c>
      <c r="Q19" s="12">
        <f>+Q3-SUM(Q4:Q18)</f>
        <v>1477000</v>
      </c>
      <c r="R19" s="12">
        <f t="shared" si="1"/>
        <v>2165000</v>
      </c>
      <c r="S19" s="12">
        <f>+S3-SUM(S4:S18)</f>
        <v>1619000</v>
      </c>
      <c r="T19" s="12">
        <f t="shared" si="1"/>
        <v>1320000</v>
      </c>
      <c r="U19" s="12">
        <f t="shared" si="1"/>
        <v>1619000</v>
      </c>
      <c r="V19" s="12">
        <f t="shared" si="1"/>
        <v>1320000</v>
      </c>
      <c r="W19" s="47">
        <f>+W3-SUM(W4:W18)</f>
        <v>1619000</v>
      </c>
      <c r="X19" s="12">
        <f t="shared" ref="X19:AB19" si="3">+X3-SUM(X4:X18)</f>
        <v>1030000</v>
      </c>
      <c r="Y19" s="12">
        <f t="shared" si="3"/>
        <v>1305000</v>
      </c>
      <c r="Z19" s="12">
        <f t="shared" si="3"/>
        <v>1200000</v>
      </c>
      <c r="AA19" s="12">
        <f t="shared" si="3"/>
        <v>985000</v>
      </c>
      <c r="AB19" s="12">
        <f t="shared" si="3"/>
        <v>1200000</v>
      </c>
      <c r="AC19" s="12">
        <f t="shared" si="1"/>
        <v>985000</v>
      </c>
      <c r="AD19" s="12">
        <f t="shared" si="1"/>
        <v>1200000</v>
      </c>
      <c r="AE19" s="12">
        <f t="shared" si="1"/>
        <v>985000</v>
      </c>
      <c r="AF19" s="12">
        <f t="shared" si="1"/>
        <v>1200000</v>
      </c>
      <c r="AG19" s="12">
        <f t="shared" si="1"/>
        <v>985000</v>
      </c>
      <c r="AH19" s="12">
        <f t="shared" si="1"/>
        <v>1200000</v>
      </c>
      <c r="AI19" s="12">
        <f t="shared" si="1"/>
        <v>985000</v>
      </c>
      <c r="AJ19" s="12">
        <f t="shared" si="1"/>
        <v>1200000</v>
      </c>
      <c r="AK19" s="12">
        <f t="shared" si="1"/>
        <v>985000</v>
      </c>
      <c r="AL19" s="12">
        <f t="shared" si="1"/>
        <v>1200000</v>
      </c>
      <c r="AM19" s="12">
        <f t="shared" si="1"/>
        <v>985000</v>
      </c>
      <c r="AN19" s="12">
        <f t="shared" si="1"/>
        <v>1200000</v>
      </c>
    </row>
    <row r="20" spans="1:40" x14ac:dyDescent="0.2">
      <c r="B20" s="1"/>
      <c r="J20" s="28"/>
      <c r="N20" s="5"/>
      <c r="O20" s="5"/>
      <c r="P20" s="5"/>
      <c r="W20" s="48"/>
    </row>
    <row r="21" spans="1:40" x14ac:dyDescent="0.2">
      <c r="A21" s="2"/>
      <c r="B21" s="1"/>
      <c r="D21" s="14"/>
      <c r="E21" s="14"/>
      <c r="F21" s="14"/>
      <c r="G21" s="14"/>
      <c r="H21" s="14"/>
      <c r="I21" s="14"/>
      <c r="M21" s="13"/>
      <c r="N21" s="5">
        <f>+N19+M19</f>
        <v>1311400</v>
      </c>
      <c r="O21" s="5">
        <f>+O19+N23</f>
        <v>1690600</v>
      </c>
      <c r="P21" s="5">
        <f>+P19+O21</f>
        <v>2355600</v>
      </c>
      <c r="Q21" s="5">
        <f t="shared" ref="Q21:X21" si="4">+Q19+P23</f>
        <v>2512600</v>
      </c>
      <c r="R21" s="6">
        <f t="shared" si="4"/>
        <v>3257600</v>
      </c>
      <c r="S21" s="13">
        <f t="shared" si="4"/>
        <v>3119000</v>
      </c>
      <c r="T21" s="13">
        <f t="shared" si="4"/>
        <v>1639000</v>
      </c>
      <c r="U21" s="13">
        <f t="shared" si="4"/>
        <v>1658000</v>
      </c>
      <c r="V21" s="13">
        <f t="shared" si="4"/>
        <v>1648000</v>
      </c>
      <c r="W21" s="49">
        <f t="shared" si="4"/>
        <v>3267000</v>
      </c>
      <c r="X21" s="13">
        <f t="shared" si="4"/>
        <v>1297000</v>
      </c>
      <c r="Y21" s="13">
        <f t="shared" ref="Y21:AA21" si="5">+Y19+X21</f>
        <v>2602000</v>
      </c>
      <c r="Z21" s="13">
        <f t="shared" si="5"/>
        <v>3802000</v>
      </c>
      <c r="AA21" s="13">
        <f t="shared" si="5"/>
        <v>4787000</v>
      </c>
      <c r="AB21" s="5">
        <f>+AB19+AA21</f>
        <v>5987000</v>
      </c>
      <c r="AC21" s="5">
        <f t="shared" ref="AC21:AN21" si="6">+AC19+AB21</f>
        <v>6972000</v>
      </c>
      <c r="AD21" s="5">
        <f t="shared" si="6"/>
        <v>8172000</v>
      </c>
      <c r="AE21" s="5">
        <f t="shared" si="6"/>
        <v>9157000</v>
      </c>
      <c r="AF21" s="5">
        <f t="shared" si="6"/>
        <v>10357000</v>
      </c>
      <c r="AG21" s="5">
        <f t="shared" si="6"/>
        <v>11342000</v>
      </c>
      <c r="AH21" s="5">
        <f t="shared" si="6"/>
        <v>12542000</v>
      </c>
      <c r="AI21" s="5">
        <f t="shared" si="6"/>
        <v>13527000</v>
      </c>
      <c r="AJ21" s="5">
        <f t="shared" si="6"/>
        <v>14727000</v>
      </c>
      <c r="AK21" s="5">
        <f t="shared" si="6"/>
        <v>15712000</v>
      </c>
      <c r="AL21" s="5">
        <f t="shared" si="6"/>
        <v>16912000</v>
      </c>
      <c r="AM21" s="5">
        <f t="shared" si="6"/>
        <v>17897000</v>
      </c>
      <c r="AN21" s="5">
        <f t="shared" si="6"/>
        <v>19097000</v>
      </c>
    </row>
    <row r="22" spans="1:40" x14ac:dyDescent="0.2">
      <c r="A22" s="2"/>
      <c r="B22" s="1"/>
      <c r="D22" s="28"/>
      <c r="E22" s="14"/>
      <c r="F22" s="14"/>
      <c r="G22" s="14"/>
      <c r="H22" s="14"/>
      <c r="I22" s="14"/>
      <c r="M22" s="18"/>
      <c r="N22" s="5">
        <v>-1000000</v>
      </c>
      <c r="O22" s="21"/>
      <c r="P22" s="5">
        <f>-1200000-120000</f>
        <v>-1320000</v>
      </c>
      <c r="Q22" s="5">
        <v>-1420000</v>
      </c>
      <c r="R22" s="24">
        <f>+R21-1500000</f>
        <v>1757600</v>
      </c>
      <c r="S22" s="5">
        <v>-2800000</v>
      </c>
      <c r="T22" s="5">
        <v>-1600000</v>
      </c>
      <c r="U22" s="5">
        <v>-1330000</v>
      </c>
      <c r="V22" s="5"/>
      <c r="W22" s="46">
        <v>-3000000</v>
      </c>
      <c r="AB22" s="5"/>
      <c r="AH22" s="5"/>
      <c r="AN22" s="5"/>
    </row>
    <row r="23" spans="1:40" x14ac:dyDescent="0.2">
      <c r="B23" s="19"/>
      <c r="D23" s="28"/>
      <c r="E23" s="14"/>
      <c r="F23" s="14"/>
      <c r="G23" s="14"/>
      <c r="H23" s="14"/>
      <c r="I23" s="28" t="s">
        <v>81</v>
      </c>
      <c r="N23" s="5">
        <f>+N21+N22</f>
        <v>311400</v>
      </c>
      <c r="O23" s="5"/>
      <c r="P23" s="5">
        <f>+P21+P22</f>
        <v>1035600</v>
      </c>
      <c r="Q23" s="5">
        <f>+Q21+Q22</f>
        <v>1092600</v>
      </c>
      <c r="R23" s="5">
        <f>+R21-R22</f>
        <v>1500000</v>
      </c>
      <c r="S23" s="13">
        <f>+S21+S22</f>
        <v>319000</v>
      </c>
      <c r="T23" s="13">
        <f>+T21+T22</f>
        <v>39000</v>
      </c>
      <c r="U23" s="13">
        <f>+U21+U22</f>
        <v>328000</v>
      </c>
      <c r="V23" s="13">
        <f>+V21+V22</f>
        <v>1648000</v>
      </c>
      <c r="W23" s="49">
        <f>+W21+W22</f>
        <v>267000</v>
      </c>
      <c r="AB23" s="5"/>
      <c r="AH23" s="13"/>
      <c r="AN23" s="13"/>
    </row>
    <row r="24" spans="1:40" x14ac:dyDescent="0.2">
      <c r="A24" s="18"/>
      <c r="B24" s="19"/>
      <c r="D24" s="28"/>
      <c r="E24" s="14"/>
      <c r="F24" s="14"/>
      <c r="G24" s="14"/>
      <c r="H24" s="14"/>
      <c r="I24" s="14"/>
      <c r="Q24" s="5"/>
      <c r="R24" s="5"/>
      <c r="W24" t="s">
        <v>78</v>
      </c>
    </row>
    <row r="25" spans="1:40" x14ac:dyDescent="0.2">
      <c r="A25" s="18"/>
      <c r="B25" s="1"/>
      <c r="D25" s="21"/>
      <c r="Q25" s="5"/>
      <c r="R25" s="5"/>
    </row>
    <row r="26" spans="1:40" x14ac:dyDescent="0.2">
      <c r="B26" s="19"/>
      <c r="H26" s="6"/>
      <c r="I26" s="6"/>
    </row>
    <row r="34" spans="2:2" x14ac:dyDescent="0.2">
      <c r="B34" s="1"/>
    </row>
    <row r="35" spans="2:2" x14ac:dyDescent="0.2">
      <c r="B35" s="1"/>
    </row>
    <row r="36" spans="2:2" x14ac:dyDescent="0.2">
      <c r="B36" s="1"/>
    </row>
    <row r="37" spans="2:2" x14ac:dyDescent="0.2">
      <c r="B37" s="1"/>
    </row>
    <row r="38" spans="2:2" x14ac:dyDescent="0.2">
      <c r="B38" s="1"/>
    </row>
    <row r="39" spans="2:2" x14ac:dyDescent="0.2">
      <c r="B39" s="1"/>
    </row>
    <row r="40" spans="2:2" x14ac:dyDescent="0.2">
      <c r="B40" s="1"/>
    </row>
    <row r="41" spans="2:2" x14ac:dyDescent="0.2">
      <c r="B41" s="1"/>
    </row>
    <row r="42" spans="2:2" x14ac:dyDescent="0.2">
      <c r="B42" s="1"/>
    </row>
    <row r="43" spans="2:2" x14ac:dyDescent="0.2">
      <c r="B43" s="1"/>
    </row>
    <row r="44" spans="2:2" x14ac:dyDescent="0.2">
      <c r="B44" s="1"/>
    </row>
    <row r="45" spans="2:2" x14ac:dyDescent="0.2">
      <c r="B45" s="1"/>
    </row>
    <row r="46" spans="2:2" x14ac:dyDescent="0.2">
      <c r="B46" s="1"/>
    </row>
    <row r="47" spans="2:2" x14ac:dyDescent="0.2">
      <c r="B47" s="1"/>
    </row>
    <row r="48" spans="2:2" x14ac:dyDescent="0.2">
      <c r="B48" s="1"/>
    </row>
    <row r="49" spans="2:2" x14ac:dyDescent="0.2">
      <c r="B49" s="1"/>
    </row>
    <row r="50" spans="2:2" x14ac:dyDescent="0.2">
      <c r="B50" s="1"/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  <row r="58" spans="2:2" x14ac:dyDescent="0.2">
      <c r="B58" s="1"/>
    </row>
    <row r="59" spans="2:2" x14ac:dyDescent="0.2">
      <c r="B59" s="1"/>
    </row>
    <row r="60" spans="2:2" x14ac:dyDescent="0.2">
      <c r="B60" s="1"/>
    </row>
    <row r="61" spans="2:2" x14ac:dyDescent="0.2">
      <c r="B61" s="1"/>
    </row>
    <row r="62" spans="2:2" x14ac:dyDescent="0.2">
      <c r="B62" s="1"/>
    </row>
    <row r="63" spans="2:2" x14ac:dyDescent="0.2">
      <c r="B63" s="1"/>
    </row>
    <row r="64" spans="2:2" x14ac:dyDescent="0.2">
      <c r="B64" s="1"/>
    </row>
    <row r="65" spans="2:2" x14ac:dyDescent="0.2">
      <c r="B65" s="1"/>
    </row>
    <row r="66" spans="2:2" x14ac:dyDescent="0.2">
      <c r="B66" s="1"/>
    </row>
    <row r="67" spans="2:2" x14ac:dyDescent="0.2">
      <c r="B67" s="1"/>
    </row>
    <row r="68" spans="2:2" x14ac:dyDescent="0.2">
      <c r="B68" s="1"/>
    </row>
    <row r="69" spans="2:2" x14ac:dyDescent="0.2">
      <c r="B69" s="1"/>
    </row>
    <row r="70" spans="2:2" x14ac:dyDescent="0.2">
      <c r="B70" s="1"/>
    </row>
    <row r="71" spans="2:2" x14ac:dyDescent="0.2">
      <c r="B71" s="1"/>
    </row>
    <row r="72" spans="2:2" x14ac:dyDescent="0.2">
      <c r="B72" s="1"/>
    </row>
    <row r="73" spans="2:2" x14ac:dyDescent="0.2">
      <c r="B73" s="1"/>
    </row>
    <row r="74" spans="2:2" x14ac:dyDescent="0.2">
      <c r="B74" s="1"/>
    </row>
    <row r="75" spans="2:2" x14ac:dyDescent="0.2">
      <c r="B75" s="1"/>
    </row>
    <row r="76" spans="2:2" x14ac:dyDescent="0.2">
      <c r="B76" s="1"/>
    </row>
    <row r="77" spans="2:2" x14ac:dyDescent="0.2">
      <c r="B77" s="1"/>
    </row>
    <row r="78" spans="2:2" x14ac:dyDescent="0.2">
      <c r="B78" s="1"/>
    </row>
    <row r="79" spans="2:2" x14ac:dyDescent="0.2">
      <c r="B79" s="1"/>
    </row>
    <row r="80" spans="2:2" x14ac:dyDescent="0.2">
      <c r="B80" s="1"/>
    </row>
    <row r="81" spans="2:2" x14ac:dyDescent="0.2">
      <c r="B81" s="1"/>
    </row>
    <row r="82" spans="2:2" x14ac:dyDescent="0.2">
      <c r="B82" s="1"/>
    </row>
    <row r="83" spans="2:2" x14ac:dyDescent="0.2">
      <c r="B83" s="1"/>
    </row>
    <row r="84" spans="2:2" x14ac:dyDescent="0.2">
      <c r="B84" s="1"/>
    </row>
    <row r="85" spans="2:2" x14ac:dyDescent="0.2">
      <c r="B85" s="1"/>
    </row>
    <row r="86" spans="2:2" x14ac:dyDescent="0.2">
      <c r="B86" s="1"/>
    </row>
    <row r="87" spans="2:2" x14ac:dyDescent="0.2">
      <c r="B87" s="1"/>
    </row>
    <row r="88" spans="2:2" x14ac:dyDescent="0.2">
      <c r="B88" s="1"/>
    </row>
    <row r="89" spans="2:2" x14ac:dyDescent="0.2">
      <c r="B89" s="1"/>
    </row>
    <row r="90" spans="2:2" x14ac:dyDescent="0.2">
      <c r="B90" s="1"/>
    </row>
    <row r="91" spans="2:2" x14ac:dyDescent="0.2">
      <c r="B91" s="1"/>
    </row>
    <row r="92" spans="2:2" x14ac:dyDescent="0.2">
      <c r="B92" s="1"/>
    </row>
    <row r="93" spans="2:2" x14ac:dyDescent="0.2">
      <c r="B93" s="1"/>
    </row>
    <row r="94" spans="2:2" x14ac:dyDescent="0.2">
      <c r="B94" s="1"/>
    </row>
    <row r="95" spans="2:2" x14ac:dyDescent="0.2">
      <c r="B95" s="1"/>
    </row>
    <row r="96" spans="2:2" x14ac:dyDescent="0.2">
      <c r="B96" s="1"/>
    </row>
    <row r="97" spans="2:2" x14ac:dyDescent="0.2">
      <c r="B97" s="1"/>
    </row>
    <row r="98" spans="2:2" x14ac:dyDescent="0.2">
      <c r="B98" s="1"/>
    </row>
    <row r="99" spans="2:2" x14ac:dyDescent="0.2">
      <c r="B99" s="1"/>
    </row>
    <row r="100" spans="2:2" x14ac:dyDescent="0.2">
      <c r="B100" s="1"/>
    </row>
    <row r="101" spans="2:2" x14ac:dyDescent="0.2">
      <c r="B101" s="1"/>
    </row>
    <row r="102" spans="2:2" x14ac:dyDescent="0.2">
      <c r="B102" s="1"/>
    </row>
    <row r="103" spans="2:2" x14ac:dyDescent="0.2">
      <c r="B103" s="1"/>
    </row>
    <row r="104" spans="2:2" x14ac:dyDescent="0.2">
      <c r="B104" s="1"/>
    </row>
    <row r="105" spans="2:2" x14ac:dyDescent="0.2">
      <c r="B105" s="1"/>
    </row>
    <row r="106" spans="2:2" x14ac:dyDescent="0.2">
      <c r="B106" s="1"/>
    </row>
    <row r="107" spans="2:2" x14ac:dyDescent="0.2">
      <c r="B107" s="1"/>
    </row>
    <row r="108" spans="2:2" x14ac:dyDescent="0.2">
      <c r="B108" s="1"/>
    </row>
    <row r="109" spans="2:2" x14ac:dyDescent="0.2">
      <c r="B109" s="1"/>
    </row>
    <row r="110" spans="2:2" x14ac:dyDescent="0.2">
      <c r="B110" s="1"/>
    </row>
    <row r="111" spans="2:2" x14ac:dyDescent="0.2">
      <c r="B111" s="1"/>
    </row>
    <row r="112" spans="2:2" x14ac:dyDescent="0.2">
      <c r="B112" s="1"/>
    </row>
    <row r="113" spans="2:2" x14ac:dyDescent="0.2">
      <c r="B113" s="1"/>
    </row>
    <row r="114" spans="2:2" x14ac:dyDescent="0.2">
      <c r="B114" s="1"/>
    </row>
    <row r="115" spans="2:2" x14ac:dyDescent="0.2">
      <c r="B115" s="1"/>
    </row>
    <row r="116" spans="2:2" x14ac:dyDescent="0.2">
      <c r="B116" s="1"/>
    </row>
    <row r="117" spans="2:2" x14ac:dyDescent="0.2">
      <c r="B117" s="1"/>
    </row>
    <row r="118" spans="2:2" x14ac:dyDescent="0.2">
      <c r="B118" s="1"/>
    </row>
    <row r="119" spans="2:2" x14ac:dyDescent="0.2">
      <c r="B119" s="1"/>
    </row>
    <row r="120" spans="2:2" x14ac:dyDescent="0.2">
      <c r="B120" s="1"/>
    </row>
    <row r="121" spans="2:2" x14ac:dyDescent="0.2">
      <c r="B121" s="1"/>
    </row>
    <row r="122" spans="2:2" x14ac:dyDescent="0.2">
      <c r="B122" s="1"/>
    </row>
    <row r="123" spans="2:2" x14ac:dyDescent="0.2">
      <c r="B123" s="1"/>
    </row>
    <row r="124" spans="2:2" x14ac:dyDescent="0.2">
      <c r="B124" s="1"/>
    </row>
    <row r="125" spans="2:2" x14ac:dyDescent="0.2">
      <c r="B125" s="1"/>
    </row>
    <row r="126" spans="2:2" x14ac:dyDescent="0.2">
      <c r="B126" s="1"/>
    </row>
    <row r="127" spans="2:2" x14ac:dyDescent="0.2">
      <c r="B127" s="1"/>
    </row>
    <row r="128" spans="2:2" x14ac:dyDescent="0.2">
      <c r="B128" s="1"/>
    </row>
    <row r="129" spans="2:2" x14ac:dyDescent="0.2">
      <c r="B129" s="1"/>
    </row>
    <row r="130" spans="2:2" x14ac:dyDescent="0.2">
      <c r="B130" s="1"/>
    </row>
    <row r="131" spans="2:2" x14ac:dyDescent="0.2">
      <c r="B131" s="1"/>
    </row>
    <row r="132" spans="2:2" x14ac:dyDescent="0.2">
      <c r="B132" s="1"/>
    </row>
    <row r="133" spans="2:2" x14ac:dyDescent="0.2">
      <c r="B133" s="1"/>
    </row>
    <row r="134" spans="2:2" x14ac:dyDescent="0.2">
      <c r="B134" s="1"/>
    </row>
    <row r="135" spans="2:2" x14ac:dyDescent="0.2">
      <c r="B135" s="1"/>
    </row>
    <row r="136" spans="2:2" x14ac:dyDescent="0.2">
      <c r="B136" s="1"/>
    </row>
    <row r="137" spans="2:2" x14ac:dyDescent="0.2">
      <c r="B137" s="1"/>
    </row>
    <row r="138" spans="2:2" x14ac:dyDescent="0.2">
      <c r="B138" s="1"/>
    </row>
    <row r="139" spans="2:2" x14ac:dyDescent="0.2">
      <c r="B139" s="1"/>
    </row>
    <row r="140" spans="2:2" x14ac:dyDescent="0.2">
      <c r="B140" s="1"/>
    </row>
    <row r="141" spans="2:2" x14ac:dyDescent="0.2">
      <c r="B141" s="1"/>
    </row>
    <row r="142" spans="2:2" x14ac:dyDescent="0.2">
      <c r="B142" s="1"/>
    </row>
    <row r="143" spans="2:2" x14ac:dyDescent="0.2">
      <c r="B143" s="1"/>
    </row>
    <row r="144" spans="2:2" x14ac:dyDescent="0.2">
      <c r="B144" s="1"/>
    </row>
    <row r="145" spans="2:2" x14ac:dyDescent="0.2">
      <c r="B145" s="1"/>
    </row>
    <row r="146" spans="2:2" x14ac:dyDescent="0.2">
      <c r="B146" s="1"/>
    </row>
    <row r="147" spans="2:2" x14ac:dyDescent="0.2">
      <c r="B147" s="1"/>
    </row>
    <row r="148" spans="2:2" x14ac:dyDescent="0.2">
      <c r="B148" s="1"/>
    </row>
    <row r="149" spans="2:2" x14ac:dyDescent="0.2">
      <c r="B149" s="1"/>
    </row>
    <row r="150" spans="2:2" x14ac:dyDescent="0.2">
      <c r="B150" s="1"/>
    </row>
    <row r="151" spans="2:2" x14ac:dyDescent="0.2">
      <c r="B151" s="1"/>
    </row>
    <row r="152" spans="2:2" x14ac:dyDescent="0.2">
      <c r="B152" s="1"/>
    </row>
    <row r="153" spans="2:2" x14ac:dyDescent="0.2">
      <c r="B153" s="1"/>
    </row>
    <row r="154" spans="2:2" x14ac:dyDescent="0.2">
      <c r="B154" s="1"/>
    </row>
    <row r="155" spans="2:2" x14ac:dyDescent="0.2">
      <c r="B155" s="1"/>
    </row>
    <row r="156" spans="2:2" x14ac:dyDescent="0.2">
      <c r="B156" s="1"/>
    </row>
    <row r="157" spans="2:2" x14ac:dyDescent="0.2">
      <c r="B157" s="1"/>
    </row>
    <row r="158" spans="2:2" x14ac:dyDescent="0.2">
      <c r="B158" s="1"/>
    </row>
    <row r="159" spans="2:2" x14ac:dyDescent="0.2">
      <c r="B159" s="1"/>
    </row>
    <row r="160" spans="2:2" x14ac:dyDescent="0.2">
      <c r="B160" s="1"/>
    </row>
    <row r="161" spans="2:2" x14ac:dyDescent="0.2">
      <c r="B161" s="1"/>
    </row>
    <row r="162" spans="2:2" x14ac:dyDescent="0.2">
      <c r="B162" s="1"/>
    </row>
    <row r="163" spans="2:2" x14ac:dyDescent="0.2">
      <c r="B163" s="1"/>
    </row>
    <row r="164" spans="2:2" x14ac:dyDescent="0.2">
      <c r="B164" s="1"/>
    </row>
    <row r="165" spans="2:2" x14ac:dyDescent="0.2">
      <c r="B165" s="1"/>
    </row>
    <row r="166" spans="2:2" x14ac:dyDescent="0.2">
      <c r="B166" s="1"/>
    </row>
    <row r="167" spans="2:2" x14ac:dyDescent="0.2">
      <c r="B167" s="1"/>
    </row>
    <row r="168" spans="2:2" x14ac:dyDescent="0.2">
      <c r="B168" s="1"/>
    </row>
    <row r="169" spans="2:2" x14ac:dyDescent="0.2">
      <c r="B169" s="1"/>
    </row>
    <row r="170" spans="2:2" x14ac:dyDescent="0.2">
      <c r="B170" s="1"/>
    </row>
    <row r="171" spans="2:2" x14ac:dyDescent="0.2">
      <c r="B171" s="1"/>
    </row>
    <row r="172" spans="2:2" x14ac:dyDescent="0.2">
      <c r="B172" s="1"/>
    </row>
    <row r="173" spans="2:2" x14ac:dyDescent="0.2">
      <c r="B173" s="1"/>
    </row>
    <row r="174" spans="2:2" x14ac:dyDescent="0.2">
      <c r="B174" s="1"/>
    </row>
    <row r="175" spans="2:2" x14ac:dyDescent="0.2">
      <c r="B175" s="1"/>
    </row>
    <row r="176" spans="2:2" x14ac:dyDescent="0.2">
      <c r="B176" s="1"/>
    </row>
    <row r="177" spans="2:2" x14ac:dyDescent="0.2">
      <c r="B177" s="1"/>
    </row>
    <row r="178" spans="2:2" x14ac:dyDescent="0.2">
      <c r="B178" s="1"/>
    </row>
    <row r="179" spans="2:2" x14ac:dyDescent="0.2">
      <c r="B179" s="1"/>
    </row>
    <row r="180" spans="2:2" x14ac:dyDescent="0.2">
      <c r="B180" s="1"/>
    </row>
    <row r="181" spans="2:2" x14ac:dyDescent="0.2">
      <c r="B181" s="1"/>
    </row>
    <row r="182" spans="2:2" x14ac:dyDescent="0.2">
      <c r="B182" s="1"/>
    </row>
    <row r="183" spans="2:2" x14ac:dyDescent="0.2">
      <c r="B183" s="1"/>
    </row>
    <row r="184" spans="2:2" x14ac:dyDescent="0.2">
      <c r="B184" s="1"/>
    </row>
    <row r="185" spans="2:2" x14ac:dyDescent="0.2">
      <c r="B185" s="1"/>
    </row>
    <row r="186" spans="2:2" x14ac:dyDescent="0.2">
      <c r="B186" s="1"/>
    </row>
    <row r="187" spans="2:2" x14ac:dyDescent="0.2">
      <c r="B187" s="1"/>
    </row>
    <row r="188" spans="2:2" x14ac:dyDescent="0.2">
      <c r="B188" s="1"/>
    </row>
    <row r="189" spans="2:2" x14ac:dyDescent="0.2">
      <c r="B189" s="1"/>
    </row>
    <row r="190" spans="2:2" x14ac:dyDescent="0.2">
      <c r="B190" s="1"/>
    </row>
    <row r="191" spans="2:2" x14ac:dyDescent="0.2">
      <c r="B191" s="1"/>
    </row>
    <row r="192" spans="2:2" x14ac:dyDescent="0.2">
      <c r="B192" s="1"/>
    </row>
    <row r="193" spans="2:2" x14ac:dyDescent="0.2">
      <c r="B193" s="1"/>
    </row>
    <row r="194" spans="2:2" x14ac:dyDescent="0.2">
      <c r="B194" s="1"/>
    </row>
    <row r="195" spans="2:2" x14ac:dyDescent="0.2">
      <c r="B195" s="1"/>
    </row>
    <row r="196" spans="2:2" x14ac:dyDescent="0.2">
      <c r="B196" s="1"/>
    </row>
    <row r="197" spans="2:2" x14ac:dyDescent="0.2">
      <c r="B197" s="1"/>
    </row>
    <row r="198" spans="2:2" x14ac:dyDescent="0.2">
      <c r="B198" s="1"/>
    </row>
    <row r="199" spans="2:2" x14ac:dyDescent="0.2">
      <c r="B199" s="1"/>
    </row>
    <row r="200" spans="2:2" x14ac:dyDescent="0.2">
      <c r="B200" s="1"/>
    </row>
    <row r="201" spans="2:2" x14ac:dyDescent="0.2">
      <c r="B201" s="1"/>
    </row>
    <row r="202" spans="2:2" x14ac:dyDescent="0.2">
      <c r="B202" s="1"/>
    </row>
    <row r="203" spans="2:2" x14ac:dyDescent="0.2">
      <c r="B203" s="1"/>
    </row>
    <row r="204" spans="2:2" x14ac:dyDescent="0.2">
      <c r="B204" s="1"/>
    </row>
    <row r="205" spans="2:2" x14ac:dyDescent="0.2">
      <c r="B205" s="1"/>
    </row>
    <row r="206" spans="2:2" x14ac:dyDescent="0.2">
      <c r="B206" s="1"/>
    </row>
    <row r="207" spans="2:2" x14ac:dyDescent="0.2">
      <c r="B207" s="1"/>
    </row>
    <row r="208" spans="2:2" x14ac:dyDescent="0.2">
      <c r="B208" s="1"/>
    </row>
    <row r="209" spans="2:2" x14ac:dyDescent="0.2">
      <c r="B209" s="1"/>
    </row>
    <row r="210" spans="2:2" x14ac:dyDescent="0.2">
      <c r="B210" s="1"/>
    </row>
    <row r="211" spans="2:2" x14ac:dyDescent="0.2">
      <c r="B211" s="1"/>
    </row>
    <row r="212" spans="2:2" x14ac:dyDescent="0.2">
      <c r="B212" s="1"/>
    </row>
    <row r="213" spans="2:2" x14ac:dyDescent="0.2">
      <c r="B213" s="1"/>
    </row>
    <row r="214" spans="2:2" x14ac:dyDescent="0.2">
      <c r="B214" s="1"/>
    </row>
    <row r="215" spans="2:2" x14ac:dyDescent="0.2">
      <c r="B215" s="1"/>
    </row>
    <row r="216" spans="2:2" x14ac:dyDescent="0.2">
      <c r="B216" s="1"/>
    </row>
    <row r="217" spans="2:2" x14ac:dyDescent="0.2">
      <c r="B217" s="1"/>
    </row>
    <row r="218" spans="2:2" x14ac:dyDescent="0.2">
      <c r="B218" s="1"/>
    </row>
    <row r="219" spans="2:2" x14ac:dyDescent="0.2">
      <c r="B219" s="1"/>
    </row>
    <row r="220" spans="2:2" x14ac:dyDescent="0.2">
      <c r="B220" s="1"/>
    </row>
    <row r="221" spans="2:2" x14ac:dyDescent="0.2">
      <c r="B221" s="1"/>
    </row>
    <row r="222" spans="2:2" x14ac:dyDescent="0.2">
      <c r="B222" s="1"/>
    </row>
    <row r="223" spans="2:2" x14ac:dyDescent="0.2">
      <c r="B223" s="1"/>
    </row>
    <row r="224" spans="2:2" x14ac:dyDescent="0.2">
      <c r="B224" s="1"/>
    </row>
    <row r="225" spans="2:2" x14ac:dyDescent="0.2">
      <c r="B225" s="1"/>
    </row>
    <row r="226" spans="2:2" x14ac:dyDescent="0.2">
      <c r="B226" s="1"/>
    </row>
    <row r="227" spans="2:2" x14ac:dyDescent="0.2">
      <c r="B227" s="1"/>
    </row>
    <row r="228" spans="2:2" x14ac:dyDescent="0.2">
      <c r="B228" s="1"/>
    </row>
    <row r="229" spans="2:2" x14ac:dyDescent="0.2">
      <c r="B229" s="1"/>
    </row>
    <row r="230" spans="2:2" x14ac:dyDescent="0.2">
      <c r="B230" s="1"/>
    </row>
    <row r="231" spans="2:2" x14ac:dyDescent="0.2">
      <c r="B231" s="1"/>
    </row>
    <row r="232" spans="2:2" x14ac:dyDescent="0.2">
      <c r="B232" s="1"/>
    </row>
    <row r="233" spans="2:2" x14ac:dyDescent="0.2">
      <c r="B233" s="1"/>
    </row>
    <row r="234" spans="2:2" x14ac:dyDescent="0.2">
      <c r="B234" s="1"/>
    </row>
    <row r="235" spans="2:2" x14ac:dyDescent="0.2">
      <c r="B235" s="1"/>
    </row>
    <row r="236" spans="2:2" x14ac:dyDescent="0.2">
      <c r="B236" s="1"/>
    </row>
    <row r="237" spans="2:2" x14ac:dyDescent="0.2">
      <c r="B237" s="1"/>
    </row>
    <row r="238" spans="2:2" x14ac:dyDescent="0.2">
      <c r="B238" s="1"/>
    </row>
    <row r="239" spans="2:2" x14ac:dyDescent="0.2">
      <c r="B239" s="1"/>
    </row>
    <row r="240" spans="2:2" x14ac:dyDescent="0.2">
      <c r="B240" s="1"/>
    </row>
    <row r="241" spans="2:2" x14ac:dyDescent="0.2">
      <c r="B241" s="1"/>
    </row>
    <row r="242" spans="2:2" x14ac:dyDescent="0.2">
      <c r="B242" s="1"/>
    </row>
    <row r="243" spans="2:2" x14ac:dyDescent="0.2">
      <c r="B243" s="1"/>
    </row>
    <row r="244" spans="2:2" x14ac:dyDescent="0.2">
      <c r="B244" s="1"/>
    </row>
    <row r="245" spans="2:2" x14ac:dyDescent="0.2">
      <c r="B245" s="1"/>
    </row>
    <row r="246" spans="2:2" x14ac:dyDescent="0.2">
      <c r="B246" s="1"/>
    </row>
    <row r="247" spans="2:2" x14ac:dyDescent="0.2">
      <c r="B247" s="1"/>
    </row>
    <row r="248" spans="2:2" x14ac:dyDescent="0.2">
      <c r="B248" s="1"/>
    </row>
    <row r="249" spans="2:2" x14ac:dyDescent="0.2">
      <c r="B249" s="1"/>
    </row>
    <row r="250" spans="2:2" x14ac:dyDescent="0.2">
      <c r="B250" s="1"/>
    </row>
    <row r="251" spans="2:2" x14ac:dyDescent="0.2">
      <c r="B251" s="1"/>
    </row>
    <row r="252" spans="2:2" x14ac:dyDescent="0.2">
      <c r="B252" s="1"/>
    </row>
    <row r="253" spans="2:2" x14ac:dyDescent="0.2">
      <c r="B253" s="1"/>
    </row>
    <row r="254" spans="2:2" x14ac:dyDescent="0.2">
      <c r="B254" s="1"/>
    </row>
    <row r="255" spans="2:2" x14ac:dyDescent="0.2">
      <c r="B255" s="1"/>
    </row>
    <row r="256" spans="2:2" x14ac:dyDescent="0.2">
      <c r="B256" s="1"/>
    </row>
    <row r="257" spans="2:2" x14ac:dyDescent="0.2">
      <c r="B257" s="1"/>
    </row>
    <row r="258" spans="2:2" x14ac:dyDescent="0.2">
      <c r="B258" s="1"/>
    </row>
    <row r="259" spans="2:2" x14ac:dyDescent="0.2">
      <c r="B259" s="1"/>
    </row>
    <row r="260" spans="2:2" x14ac:dyDescent="0.2">
      <c r="B260" s="1"/>
    </row>
    <row r="261" spans="2:2" x14ac:dyDescent="0.2">
      <c r="B261" s="1"/>
    </row>
    <row r="262" spans="2:2" x14ac:dyDescent="0.2">
      <c r="B262" s="1"/>
    </row>
    <row r="263" spans="2:2" x14ac:dyDescent="0.2">
      <c r="B263" s="1"/>
    </row>
    <row r="264" spans="2:2" x14ac:dyDescent="0.2">
      <c r="B264" s="1"/>
    </row>
    <row r="265" spans="2:2" x14ac:dyDescent="0.2">
      <c r="B265" s="1"/>
    </row>
    <row r="266" spans="2:2" x14ac:dyDescent="0.2">
      <c r="B266" s="1"/>
    </row>
    <row r="267" spans="2:2" x14ac:dyDescent="0.2">
      <c r="B267" s="1"/>
    </row>
    <row r="268" spans="2:2" x14ac:dyDescent="0.2">
      <c r="B268" s="1"/>
    </row>
    <row r="269" spans="2:2" x14ac:dyDescent="0.2">
      <c r="B269" s="1"/>
    </row>
    <row r="270" spans="2:2" x14ac:dyDescent="0.2">
      <c r="B270" s="1"/>
    </row>
    <row r="271" spans="2:2" x14ac:dyDescent="0.2">
      <c r="B271" s="1"/>
    </row>
    <row r="272" spans="2:2" x14ac:dyDescent="0.2">
      <c r="B272" s="1"/>
    </row>
    <row r="273" spans="2:2" x14ac:dyDescent="0.2">
      <c r="B273" s="1"/>
    </row>
    <row r="274" spans="2:2" x14ac:dyDescent="0.2">
      <c r="B274" s="1"/>
    </row>
    <row r="275" spans="2:2" x14ac:dyDescent="0.2">
      <c r="B275" s="1"/>
    </row>
    <row r="276" spans="2:2" x14ac:dyDescent="0.2">
      <c r="B276" s="1"/>
    </row>
    <row r="277" spans="2:2" x14ac:dyDescent="0.2">
      <c r="B277" s="1"/>
    </row>
    <row r="278" spans="2:2" x14ac:dyDescent="0.2">
      <c r="B278" s="1"/>
    </row>
    <row r="279" spans="2:2" x14ac:dyDescent="0.2">
      <c r="B279" s="1"/>
    </row>
    <row r="280" spans="2:2" x14ac:dyDescent="0.2">
      <c r="B280" s="1"/>
    </row>
    <row r="281" spans="2:2" x14ac:dyDescent="0.2">
      <c r="B281" s="1"/>
    </row>
    <row r="282" spans="2:2" x14ac:dyDescent="0.2">
      <c r="B282" s="1"/>
    </row>
    <row r="283" spans="2:2" x14ac:dyDescent="0.2">
      <c r="B283" s="1"/>
    </row>
    <row r="284" spans="2:2" x14ac:dyDescent="0.2">
      <c r="B284" s="1"/>
    </row>
    <row r="285" spans="2:2" x14ac:dyDescent="0.2">
      <c r="B285" s="1"/>
    </row>
    <row r="286" spans="2:2" x14ac:dyDescent="0.2">
      <c r="B286" s="1"/>
    </row>
    <row r="287" spans="2:2" x14ac:dyDescent="0.2">
      <c r="B287" s="1"/>
    </row>
    <row r="288" spans="2:2" x14ac:dyDescent="0.2">
      <c r="B288" s="1"/>
    </row>
    <row r="289" spans="2:2" x14ac:dyDescent="0.2">
      <c r="B289" s="1"/>
    </row>
    <row r="290" spans="2:2" x14ac:dyDescent="0.2">
      <c r="B290" s="1"/>
    </row>
    <row r="291" spans="2:2" x14ac:dyDescent="0.2">
      <c r="B291" s="1"/>
    </row>
    <row r="292" spans="2:2" x14ac:dyDescent="0.2">
      <c r="B292" s="1"/>
    </row>
    <row r="293" spans="2:2" x14ac:dyDescent="0.2">
      <c r="B293" s="1"/>
    </row>
    <row r="294" spans="2:2" x14ac:dyDescent="0.2">
      <c r="B294" s="1"/>
    </row>
    <row r="295" spans="2:2" x14ac:dyDescent="0.2">
      <c r="B295" s="1"/>
    </row>
    <row r="296" spans="2:2" x14ac:dyDescent="0.2">
      <c r="B296" s="1"/>
    </row>
    <row r="297" spans="2:2" x14ac:dyDescent="0.2">
      <c r="B297" s="1"/>
    </row>
    <row r="298" spans="2:2" x14ac:dyDescent="0.2">
      <c r="B298" s="1"/>
    </row>
    <row r="299" spans="2:2" x14ac:dyDescent="0.2">
      <c r="B299" s="1"/>
    </row>
    <row r="300" spans="2:2" x14ac:dyDescent="0.2">
      <c r="B300" s="1"/>
    </row>
    <row r="301" spans="2:2" x14ac:dyDescent="0.2">
      <c r="B301" s="1"/>
    </row>
    <row r="302" spans="2:2" x14ac:dyDescent="0.2">
      <c r="B302" s="1"/>
    </row>
    <row r="303" spans="2:2" x14ac:dyDescent="0.2">
      <c r="B303" s="1"/>
    </row>
    <row r="304" spans="2:2" x14ac:dyDescent="0.2">
      <c r="B304" s="1"/>
    </row>
    <row r="305" spans="2:2" x14ac:dyDescent="0.2">
      <c r="B305" s="1"/>
    </row>
    <row r="306" spans="2:2" x14ac:dyDescent="0.2">
      <c r="B306" s="1"/>
    </row>
    <row r="307" spans="2:2" x14ac:dyDescent="0.2">
      <c r="B307" s="1"/>
    </row>
    <row r="308" spans="2:2" x14ac:dyDescent="0.2">
      <c r="B308" s="1"/>
    </row>
    <row r="309" spans="2:2" x14ac:dyDescent="0.2">
      <c r="B309" s="1"/>
    </row>
    <row r="310" spans="2:2" x14ac:dyDescent="0.2">
      <c r="B310" s="1"/>
    </row>
    <row r="311" spans="2:2" x14ac:dyDescent="0.2">
      <c r="B311" s="1"/>
    </row>
    <row r="312" spans="2:2" x14ac:dyDescent="0.2">
      <c r="B312" s="1"/>
    </row>
    <row r="313" spans="2:2" x14ac:dyDescent="0.2">
      <c r="B313" s="1"/>
    </row>
    <row r="314" spans="2:2" x14ac:dyDescent="0.2">
      <c r="B314" s="1"/>
    </row>
    <row r="315" spans="2:2" x14ac:dyDescent="0.2">
      <c r="B315" s="1"/>
    </row>
    <row r="316" spans="2:2" x14ac:dyDescent="0.2">
      <c r="B316" s="1"/>
    </row>
    <row r="317" spans="2:2" x14ac:dyDescent="0.2">
      <c r="B317" s="1"/>
    </row>
    <row r="318" spans="2:2" x14ac:dyDescent="0.2">
      <c r="B318" s="1"/>
    </row>
    <row r="319" spans="2:2" x14ac:dyDescent="0.2">
      <c r="B319" s="1"/>
    </row>
    <row r="320" spans="2:2" x14ac:dyDescent="0.2">
      <c r="B320" s="1"/>
    </row>
    <row r="321" spans="2:2" x14ac:dyDescent="0.2">
      <c r="B321" s="1"/>
    </row>
    <row r="322" spans="2:2" x14ac:dyDescent="0.2">
      <c r="B322" s="1"/>
    </row>
    <row r="323" spans="2:2" x14ac:dyDescent="0.2">
      <c r="B323" s="1"/>
    </row>
    <row r="324" spans="2:2" x14ac:dyDescent="0.2">
      <c r="B324" s="1"/>
    </row>
    <row r="325" spans="2:2" x14ac:dyDescent="0.2">
      <c r="B325" s="1"/>
    </row>
    <row r="326" spans="2:2" x14ac:dyDescent="0.2">
      <c r="B326" s="1"/>
    </row>
    <row r="327" spans="2:2" x14ac:dyDescent="0.2">
      <c r="B327" s="1"/>
    </row>
    <row r="328" spans="2:2" x14ac:dyDescent="0.2">
      <c r="B328" s="1"/>
    </row>
    <row r="329" spans="2:2" x14ac:dyDescent="0.2">
      <c r="B329" s="1"/>
    </row>
    <row r="330" spans="2:2" x14ac:dyDescent="0.2">
      <c r="B330" s="1"/>
    </row>
    <row r="331" spans="2:2" x14ac:dyDescent="0.2">
      <c r="B331" s="1"/>
    </row>
    <row r="332" spans="2:2" x14ac:dyDescent="0.2">
      <c r="B332" s="1"/>
    </row>
    <row r="333" spans="2:2" x14ac:dyDescent="0.2">
      <c r="B333" s="1"/>
    </row>
    <row r="334" spans="2:2" x14ac:dyDescent="0.2">
      <c r="B334" s="1"/>
    </row>
    <row r="335" spans="2:2" x14ac:dyDescent="0.2">
      <c r="B335" s="1"/>
    </row>
    <row r="336" spans="2:2" x14ac:dyDescent="0.2">
      <c r="B336" s="1"/>
    </row>
    <row r="337" spans="2:2" x14ac:dyDescent="0.2">
      <c r="B337" s="1"/>
    </row>
    <row r="338" spans="2:2" x14ac:dyDescent="0.2">
      <c r="B338" s="1"/>
    </row>
    <row r="339" spans="2:2" x14ac:dyDescent="0.2">
      <c r="B339" s="1"/>
    </row>
    <row r="340" spans="2:2" x14ac:dyDescent="0.2">
      <c r="B340" s="1"/>
    </row>
    <row r="341" spans="2:2" x14ac:dyDescent="0.2">
      <c r="B341" s="1"/>
    </row>
    <row r="342" spans="2:2" x14ac:dyDescent="0.2">
      <c r="B342" s="1"/>
    </row>
    <row r="343" spans="2:2" x14ac:dyDescent="0.2">
      <c r="B343" s="1"/>
    </row>
    <row r="344" spans="2:2" x14ac:dyDescent="0.2">
      <c r="B344" s="1"/>
    </row>
    <row r="345" spans="2:2" x14ac:dyDescent="0.2">
      <c r="B345" s="1"/>
    </row>
    <row r="346" spans="2:2" x14ac:dyDescent="0.2">
      <c r="B346" s="1"/>
    </row>
    <row r="347" spans="2:2" x14ac:dyDescent="0.2">
      <c r="B347" s="1"/>
    </row>
    <row r="348" spans="2:2" x14ac:dyDescent="0.2">
      <c r="B348" s="1"/>
    </row>
    <row r="349" spans="2:2" x14ac:dyDescent="0.2">
      <c r="B349" s="1"/>
    </row>
    <row r="350" spans="2:2" x14ac:dyDescent="0.2">
      <c r="B350" s="1"/>
    </row>
    <row r="351" spans="2:2" x14ac:dyDescent="0.2">
      <c r="B351" s="1"/>
    </row>
    <row r="352" spans="2:2" x14ac:dyDescent="0.2">
      <c r="B352" s="1"/>
    </row>
    <row r="353" spans="2:2" x14ac:dyDescent="0.2">
      <c r="B353" s="1"/>
    </row>
    <row r="354" spans="2:2" x14ac:dyDescent="0.2">
      <c r="B354" s="1"/>
    </row>
    <row r="355" spans="2:2" x14ac:dyDescent="0.2">
      <c r="B355" s="1"/>
    </row>
    <row r="356" spans="2:2" x14ac:dyDescent="0.2">
      <c r="B356" s="1"/>
    </row>
    <row r="357" spans="2:2" x14ac:dyDescent="0.2">
      <c r="B357" s="1"/>
    </row>
    <row r="358" spans="2:2" x14ac:dyDescent="0.2">
      <c r="B358" s="1"/>
    </row>
    <row r="359" spans="2:2" x14ac:dyDescent="0.2">
      <c r="B359" s="1"/>
    </row>
    <row r="360" spans="2:2" x14ac:dyDescent="0.2">
      <c r="B360" s="1"/>
    </row>
    <row r="361" spans="2:2" x14ac:dyDescent="0.2">
      <c r="B361" s="1"/>
    </row>
    <row r="362" spans="2:2" x14ac:dyDescent="0.2">
      <c r="B362" s="1"/>
    </row>
    <row r="363" spans="2:2" x14ac:dyDescent="0.2">
      <c r="B363" s="1"/>
    </row>
    <row r="364" spans="2:2" x14ac:dyDescent="0.2">
      <c r="B364" s="1"/>
    </row>
    <row r="365" spans="2:2" x14ac:dyDescent="0.2">
      <c r="B365" s="1"/>
    </row>
    <row r="366" spans="2:2" x14ac:dyDescent="0.2">
      <c r="B366" s="1"/>
    </row>
    <row r="367" spans="2:2" x14ac:dyDescent="0.2">
      <c r="B367" s="1"/>
    </row>
    <row r="368" spans="2:2" x14ac:dyDescent="0.2">
      <c r="B368" s="1"/>
    </row>
    <row r="369" spans="2:2" x14ac:dyDescent="0.2">
      <c r="B369" s="1"/>
    </row>
    <row r="370" spans="2:2" x14ac:dyDescent="0.2">
      <c r="B370" s="1"/>
    </row>
    <row r="371" spans="2:2" x14ac:dyDescent="0.2">
      <c r="B371" s="1"/>
    </row>
    <row r="372" spans="2:2" x14ac:dyDescent="0.2">
      <c r="B372" s="1"/>
    </row>
    <row r="373" spans="2:2" x14ac:dyDescent="0.2">
      <c r="B373" s="1"/>
    </row>
    <row r="374" spans="2:2" x14ac:dyDescent="0.2">
      <c r="B374" s="1"/>
    </row>
    <row r="375" spans="2:2" x14ac:dyDescent="0.2">
      <c r="B375" s="1"/>
    </row>
    <row r="376" spans="2:2" x14ac:dyDescent="0.2">
      <c r="B376" s="1"/>
    </row>
    <row r="377" spans="2:2" x14ac:dyDescent="0.2">
      <c r="B377" s="1"/>
    </row>
    <row r="378" spans="2:2" x14ac:dyDescent="0.2">
      <c r="B378" s="1"/>
    </row>
    <row r="379" spans="2:2" x14ac:dyDescent="0.2">
      <c r="B379" s="1"/>
    </row>
    <row r="380" spans="2:2" x14ac:dyDescent="0.2">
      <c r="B380" s="1"/>
    </row>
    <row r="381" spans="2:2" x14ac:dyDescent="0.2">
      <c r="B381" s="1"/>
    </row>
    <row r="382" spans="2:2" x14ac:dyDescent="0.2">
      <c r="B382" s="1"/>
    </row>
    <row r="383" spans="2:2" x14ac:dyDescent="0.2">
      <c r="B383" s="1"/>
    </row>
    <row r="384" spans="2:2" x14ac:dyDescent="0.2">
      <c r="B384" s="1"/>
    </row>
    <row r="385" spans="2:2" x14ac:dyDescent="0.2">
      <c r="B385" s="1"/>
    </row>
    <row r="386" spans="2:2" x14ac:dyDescent="0.2">
      <c r="B386" s="1"/>
    </row>
    <row r="387" spans="2:2" x14ac:dyDescent="0.2">
      <c r="B387" s="1"/>
    </row>
    <row r="388" spans="2:2" x14ac:dyDescent="0.2">
      <c r="B388" s="1"/>
    </row>
    <row r="389" spans="2:2" x14ac:dyDescent="0.2">
      <c r="B389" s="1"/>
    </row>
    <row r="390" spans="2:2" x14ac:dyDescent="0.2">
      <c r="B390" s="1"/>
    </row>
    <row r="391" spans="2:2" x14ac:dyDescent="0.2">
      <c r="B391" s="1"/>
    </row>
    <row r="392" spans="2:2" x14ac:dyDescent="0.2">
      <c r="B392" s="1"/>
    </row>
    <row r="393" spans="2:2" x14ac:dyDescent="0.2">
      <c r="B393" s="1"/>
    </row>
    <row r="394" spans="2:2" x14ac:dyDescent="0.2">
      <c r="B394" s="1"/>
    </row>
    <row r="395" spans="2:2" x14ac:dyDescent="0.2">
      <c r="B395" s="1"/>
    </row>
    <row r="396" spans="2:2" x14ac:dyDescent="0.2">
      <c r="B396" s="1"/>
    </row>
    <row r="397" spans="2:2" x14ac:dyDescent="0.2">
      <c r="B397" s="1"/>
    </row>
    <row r="398" spans="2:2" x14ac:dyDescent="0.2">
      <c r="B398" s="1"/>
    </row>
    <row r="399" spans="2:2" x14ac:dyDescent="0.2">
      <c r="B399" s="1"/>
    </row>
    <row r="400" spans="2:2" x14ac:dyDescent="0.2">
      <c r="B400" s="1"/>
    </row>
    <row r="401" spans="2:2" x14ac:dyDescent="0.2">
      <c r="B401" s="1"/>
    </row>
    <row r="402" spans="2:2" x14ac:dyDescent="0.2">
      <c r="B402" s="1"/>
    </row>
    <row r="403" spans="2:2" x14ac:dyDescent="0.2">
      <c r="B403" s="1"/>
    </row>
    <row r="404" spans="2:2" x14ac:dyDescent="0.2">
      <c r="B404" s="1"/>
    </row>
    <row r="405" spans="2:2" x14ac:dyDescent="0.2">
      <c r="B405" s="1"/>
    </row>
    <row r="406" spans="2:2" x14ac:dyDescent="0.2">
      <c r="B406" s="1"/>
    </row>
    <row r="407" spans="2:2" x14ac:dyDescent="0.2">
      <c r="B407" s="1"/>
    </row>
    <row r="408" spans="2:2" x14ac:dyDescent="0.2">
      <c r="B408" s="1"/>
    </row>
    <row r="409" spans="2:2" x14ac:dyDescent="0.2">
      <c r="B409" s="1"/>
    </row>
    <row r="410" spans="2:2" x14ac:dyDescent="0.2">
      <c r="B410" s="1"/>
    </row>
    <row r="411" spans="2:2" x14ac:dyDescent="0.2">
      <c r="B411" s="1"/>
    </row>
    <row r="412" spans="2:2" x14ac:dyDescent="0.2">
      <c r="B412" s="1"/>
    </row>
    <row r="413" spans="2:2" x14ac:dyDescent="0.2">
      <c r="B413" s="1"/>
    </row>
    <row r="414" spans="2:2" x14ac:dyDescent="0.2">
      <c r="B414" s="1"/>
    </row>
    <row r="415" spans="2:2" x14ac:dyDescent="0.2">
      <c r="B415" s="1"/>
    </row>
    <row r="416" spans="2:2" x14ac:dyDescent="0.2">
      <c r="B416" s="1"/>
    </row>
    <row r="417" spans="2:2" x14ac:dyDescent="0.2">
      <c r="B417" s="1"/>
    </row>
    <row r="418" spans="2:2" x14ac:dyDescent="0.2">
      <c r="B418" s="1"/>
    </row>
    <row r="419" spans="2:2" x14ac:dyDescent="0.2">
      <c r="B419" s="1"/>
    </row>
    <row r="420" spans="2:2" x14ac:dyDescent="0.2">
      <c r="B420" s="1"/>
    </row>
    <row r="421" spans="2:2" x14ac:dyDescent="0.2">
      <c r="B421" s="1"/>
    </row>
    <row r="422" spans="2:2" x14ac:dyDescent="0.2">
      <c r="B422" s="1"/>
    </row>
    <row r="423" spans="2:2" x14ac:dyDescent="0.2">
      <c r="B423" s="1"/>
    </row>
    <row r="424" spans="2:2" x14ac:dyDescent="0.2">
      <c r="B424" s="1"/>
    </row>
    <row r="425" spans="2:2" x14ac:dyDescent="0.2">
      <c r="B425" s="1"/>
    </row>
    <row r="426" spans="2:2" x14ac:dyDescent="0.2">
      <c r="B426" s="1"/>
    </row>
    <row r="427" spans="2:2" x14ac:dyDescent="0.2">
      <c r="B427" s="1"/>
    </row>
    <row r="428" spans="2:2" x14ac:dyDescent="0.2">
      <c r="B428" s="1"/>
    </row>
    <row r="429" spans="2:2" x14ac:dyDescent="0.2">
      <c r="B429" s="1"/>
    </row>
    <row r="430" spans="2:2" x14ac:dyDescent="0.2">
      <c r="B430" s="1"/>
    </row>
    <row r="431" spans="2:2" x14ac:dyDescent="0.2">
      <c r="B431" s="1"/>
    </row>
    <row r="432" spans="2:2" x14ac:dyDescent="0.2">
      <c r="B432" s="1"/>
    </row>
    <row r="433" spans="2:2" x14ac:dyDescent="0.2">
      <c r="B433" s="1"/>
    </row>
    <row r="434" spans="2:2" x14ac:dyDescent="0.2">
      <c r="B434" s="1"/>
    </row>
    <row r="435" spans="2:2" x14ac:dyDescent="0.2">
      <c r="B435" s="1"/>
    </row>
    <row r="436" spans="2:2" x14ac:dyDescent="0.2">
      <c r="B436" s="1"/>
    </row>
    <row r="437" spans="2:2" x14ac:dyDescent="0.2">
      <c r="B437" s="1"/>
    </row>
    <row r="438" spans="2:2" x14ac:dyDescent="0.2">
      <c r="B438" s="1"/>
    </row>
    <row r="439" spans="2:2" x14ac:dyDescent="0.2">
      <c r="B439" s="1"/>
    </row>
    <row r="440" spans="2:2" x14ac:dyDescent="0.2">
      <c r="B440" s="1"/>
    </row>
    <row r="441" spans="2:2" x14ac:dyDescent="0.2">
      <c r="B441" s="1"/>
    </row>
    <row r="442" spans="2:2" x14ac:dyDescent="0.2">
      <c r="B442" s="1"/>
    </row>
    <row r="443" spans="2:2" x14ac:dyDescent="0.2">
      <c r="B443" s="1"/>
    </row>
    <row r="444" spans="2:2" x14ac:dyDescent="0.2">
      <c r="B444" s="1"/>
    </row>
    <row r="445" spans="2:2" x14ac:dyDescent="0.2">
      <c r="B445" s="1"/>
    </row>
    <row r="446" spans="2:2" x14ac:dyDescent="0.2">
      <c r="B446" s="1"/>
    </row>
    <row r="447" spans="2:2" x14ac:dyDescent="0.2">
      <c r="B447" s="1"/>
    </row>
    <row r="448" spans="2:2" x14ac:dyDescent="0.2">
      <c r="B448" s="1"/>
    </row>
    <row r="449" spans="2:2" x14ac:dyDescent="0.2">
      <c r="B449" s="1"/>
    </row>
    <row r="450" spans="2:2" x14ac:dyDescent="0.2">
      <c r="B450" s="1"/>
    </row>
    <row r="451" spans="2:2" x14ac:dyDescent="0.2">
      <c r="B451" s="1"/>
    </row>
    <row r="452" spans="2:2" x14ac:dyDescent="0.2">
      <c r="B452" s="1"/>
    </row>
    <row r="453" spans="2:2" x14ac:dyDescent="0.2">
      <c r="B453" s="1"/>
    </row>
    <row r="454" spans="2:2" x14ac:dyDescent="0.2">
      <c r="B454" s="1"/>
    </row>
    <row r="455" spans="2:2" x14ac:dyDescent="0.2">
      <c r="B455" s="1"/>
    </row>
    <row r="456" spans="2:2" x14ac:dyDescent="0.2">
      <c r="B456" s="1"/>
    </row>
    <row r="457" spans="2:2" x14ac:dyDescent="0.2">
      <c r="B457" s="1"/>
    </row>
    <row r="458" spans="2:2" x14ac:dyDescent="0.2">
      <c r="B458" s="1"/>
    </row>
    <row r="459" spans="2:2" x14ac:dyDescent="0.2">
      <c r="B459" s="1"/>
    </row>
    <row r="460" spans="2:2" x14ac:dyDescent="0.2">
      <c r="B460" s="1"/>
    </row>
    <row r="461" spans="2:2" x14ac:dyDescent="0.2">
      <c r="B461" s="1"/>
    </row>
    <row r="462" spans="2:2" x14ac:dyDescent="0.2">
      <c r="B462" s="1"/>
    </row>
    <row r="463" spans="2:2" x14ac:dyDescent="0.2">
      <c r="B463" s="1"/>
    </row>
    <row r="464" spans="2:2" x14ac:dyDescent="0.2">
      <c r="B464" s="1"/>
    </row>
    <row r="465" spans="2:2" x14ac:dyDescent="0.2">
      <c r="B465" s="1"/>
    </row>
    <row r="466" spans="2:2" x14ac:dyDescent="0.2">
      <c r="B466" s="1"/>
    </row>
    <row r="467" spans="2:2" x14ac:dyDescent="0.2">
      <c r="B467" s="1"/>
    </row>
    <row r="468" spans="2:2" x14ac:dyDescent="0.2">
      <c r="B468" s="1"/>
    </row>
    <row r="469" spans="2:2" x14ac:dyDescent="0.2">
      <c r="B469" s="1"/>
    </row>
    <row r="470" spans="2:2" x14ac:dyDescent="0.2">
      <c r="B470" s="1"/>
    </row>
    <row r="471" spans="2:2" x14ac:dyDescent="0.2">
      <c r="B471" s="1"/>
    </row>
    <row r="472" spans="2:2" x14ac:dyDescent="0.2">
      <c r="B472" s="1"/>
    </row>
    <row r="473" spans="2:2" x14ac:dyDescent="0.2">
      <c r="B473" s="1"/>
    </row>
    <row r="474" spans="2:2" x14ac:dyDescent="0.2">
      <c r="B474" s="1"/>
    </row>
    <row r="475" spans="2:2" x14ac:dyDescent="0.2">
      <c r="B475" s="1"/>
    </row>
    <row r="476" spans="2:2" x14ac:dyDescent="0.2">
      <c r="B476" s="1"/>
    </row>
    <row r="477" spans="2:2" x14ac:dyDescent="0.2">
      <c r="B477" s="1"/>
    </row>
    <row r="478" spans="2:2" x14ac:dyDescent="0.2">
      <c r="B478" s="1"/>
    </row>
    <row r="479" spans="2:2" x14ac:dyDescent="0.2">
      <c r="B479" s="1"/>
    </row>
    <row r="480" spans="2:2" x14ac:dyDescent="0.2">
      <c r="B480" s="1"/>
    </row>
    <row r="481" spans="2:2" x14ac:dyDescent="0.2">
      <c r="B481" s="1"/>
    </row>
    <row r="482" spans="2:2" x14ac:dyDescent="0.2">
      <c r="B482" s="1"/>
    </row>
    <row r="483" spans="2:2" x14ac:dyDescent="0.2">
      <c r="B483" s="1"/>
    </row>
    <row r="484" spans="2:2" x14ac:dyDescent="0.2">
      <c r="B484" s="1"/>
    </row>
    <row r="485" spans="2:2" x14ac:dyDescent="0.2">
      <c r="B485" s="1"/>
    </row>
    <row r="486" spans="2:2" x14ac:dyDescent="0.2">
      <c r="B486" s="1"/>
    </row>
    <row r="487" spans="2:2" x14ac:dyDescent="0.2">
      <c r="B487" s="1"/>
    </row>
    <row r="488" spans="2:2" x14ac:dyDescent="0.2">
      <c r="B488" s="1"/>
    </row>
    <row r="489" spans="2:2" x14ac:dyDescent="0.2">
      <c r="B489" s="1"/>
    </row>
    <row r="490" spans="2:2" x14ac:dyDescent="0.2">
      <c r="B490" s="1"/>
    </row>
    <row r="491" spans="2:2" x14ac:dyDescent="0.2">
      <c r="B491" s="1"/>
    </row>
    <row r="492" spans="2:2" x14ac:dyDescent="0.2">
      <c r="B492" s="1"/>
    </row>
    <row r="493" spans="2:2" x14ac:dyDescent="0.2">
      <c r="B493" s="1"/>
    </row>
    <row r="494" spans="2:2" x14ac:dyDescent="0.2">
      <c r="B494" s="1"/>
    </row>
    <row r="495" spans="2:2" x14ac:dyDescent="0.2">
      <c r="B495" s="1"/>
    </row>
    <row r="496" spans="2:2" x14ac:dyDescent="0.2">
      <c r="B496" s="1"/>
    </row>
    <row r="497" spans="2:2" x14ac:dyDescent="0.2">
      <c r="B497" s="1"/>
    </row>
    <row r="498" spans="2:2" x14ac:dyDescent="0.2">
      <c r="B498" s="1"/>
    </row>
    <row r="499" spans="2:2" x14ac:dyDescent="0.2">
      <c r="B499" s="1"/>
    </row>
    <row r="500" spans="2:2" x14ac:dyDescent="0.2">
      <c r="B500" s="1"/>
    </row>
    <row r="501" spans="2:2" x14ac:dyDescent="0.2">
      <c r="B501" s="1"/>
    </row>
    <row r="502" spans="2:2" x14ac:dyDescent="0.2">
      <c r="B502" s="1"/>
    </row>
    <row r="503" spans="2:2" x14ac:dyDescent="0.2">
      <c r="B503" s="1"/>
    </row>
    <row r="504" spans="2:2" x14ac:dyDescent="0.2">
      <c r="B504" s="1"/>
    </row>
    <row r="505" spans="2:2" x14ac:dyDescent="0.2">
      <c r="B505" s="1"/>
    </row>
    <row r="506" spans="2:2" x14ac:dyDescent="0.2">
      <c r="B506" s="1"/>
    </row>
    <row r="507" spans="2:2" x14ac:dyDescent="0.2">
      <c r="B507" s="1"/>
    </row>
    <row r="508" spans="2:2" x14ac:dyDescent="0.2">
      <c r="B508" s="1"/>
    </row>
    <row r="509" spans="2:2" x14ac:dyDescent="0.2">
      <c r="B509" s="1"/>
    </row>
    <row r="510" spans="2:2" x14ac:dyDescent="0.2">
      <c r="B510" s="1"/>
    </row>
    <row r="511" spans="2:2" x14ac:dyDescent="0.2">
      <c r="B511" s="1"/>
    </row>
    <row r="512" spans="2:2" x14ac:dyDescent="0.2">
      <c r="B512" s="1"/>
    </row>
    <row r="513" spans="2:2" x14ac:dyDescent="0.2">
      <c r="B513" s="1"/>
    </row>
    <row r="514" spans="2:2" x14ac:dyDescent="0.2">
      <c r="B514" s="1"/>
    </row>
    <row r="515" spans="2:2" x14ac:dyDescent="0.2">
      <c r="B515" s="1"/>
    </row>
    <row r="516" spans="2:2" x14ac:dyDescent="0.2">
      <c r="B516" s="1"/>
    </row>
    <row r="517" spans="2:2" x14ac:dyDescent="0.2">
      <c r="B517" s="1"/>
    </row>
    <row r="518" spans="2:2" x14ac:dyDescent="0.2">
      <c r="B518" s="1"/>
    </row>
    <row r="519" spans="2:2" x14ac:dyDescent="0.2">
      <c r="B519" s="1"/>
    </row>
    <row r="520" spans="2:2" x14ac:dyDescent="0.2">
      <c r="B520" s="1"/>
    </row>
    <row r="521" spans="2:2" x14ac:dyDescent="0.2">
      <c r="B521" s="1"/>
    </row>
    <row r="522" spans="2:2" x14ac:dyDescent="0.2">
      <c r="B522" s="1"/>
    </row>
    <row r="523" spans="2:2" x14ac:dyDescent="0.2">
      <c r="B523" s="1"/>
    </row>
    <row r="524" spans="2:2" x14ac:dyDescent="0.2">
      <c r="B524" s="1"/>
    </row>
    <row r="525" spans="2:2" x14ac:dyDescent="0.2">
      <c r="B525" s="1"/>
    </row>
    <row r="526" spans="2:2" x14ac:dyDescent="0.2">
      <c r="B526" s="1"/>
    </row>
    <row r="527" spans="2:2" x14ac:dyDescent="0.2">
      <c r="B527" s="1"/>
    </row>
    <row r="528" spans="2:2" x14ac:dyDescent="0.2">
      <c r="B528" s="1"/>
    </row>
    <row r="529" spans="2:2" x14ac:dyDescent="0.2">
      <c r="B529" s="1"/>
    </row>
    <row r="530" spans="2:2" x14ac:dyDescent="0.2">
      <c r="B530" s="1"/>
    </row>
    <row r="531" spans="2:2" x14ac:dyDescent="0.2">
      <c r="B531" s="1"/>
    </row>
    <row r="532" spans="2:2" x14ac:dyDescent="0.2">
      <c r="B532" s="1"/>
    </row>
    <row r="533" spans="2:2" x14ac:dyDescent="0.2">
      <c r="B533" s="1"/>
    </row>
    <row r="534" spans="2:2" x14ac:dyDescent="0.2">
      <c r="B534" s="1"/>
    </row>
    <row r="535" spans="2:2" x14ac:dyDescent="0.2">
      <c r="B535" s="1"/>
    </row>
    <row r="536" spans="2:2" x14ac:dyDescent="0.2">
      <c r="B536" s="1"/>
    </row>
    <row r="537" spans="2:2" x14ac:dyDescent="0.2">
      <c r="B537" s="1"/>
    </row>
    <row r="538" spans="2:2" x14ac:dyDescent="0.2">
      <c r="B538" s="1"/>
    </row>
    <row r="539" spans="2:2" x14ac:dyDescent="0.2">
      <c r="B539" s="1"/>
    </row>
    <row r="540" spans="2:2" x14ac:dyDescent="0.2">
      <c r="B540" s="1"/>
    </row>
    <row r="541" spans="2:2" x14ac:dyDescent="0.2">
      <c r="B541" s="1"/>
    </row>
    <row r="542" spans="2:2" x14ac:dyDescent="0.2">
      <c r="B542" s="1"/>
    </row>
    <row r="543" spans="2:2" x14ac:dyDescent="0.2">
      <c r="B543" s="1"/>
    </row>
    <row r="544" spans="2:2" x14ac:dyDescent="0.2">
      <c r="B544" s="1"/>
    </row>
    <row r="545" spans="2:2" x14ac:dyDescent="0.2">
      <c r="B545" s="1"/>
    </row>
    <row r="546" spans="2:2" x14ac:dyDescent="0.2">
      <c r="B546" s="1"/>
    </row>
    <row r="547" spans="2:2" x14ac:dyDescent="0.2">
      <c r="B547" s="1"/>
    </row>
    <row r="548" spans="2:2" x14ac:dyDescent="0.2">
      <c r="B548" s="1"/>
    </row>
    <row r="549" spans="2:2" x14ac:dyDescent="0.2">
      <c r="B549" s="1"/>
    </row>
    <row r="550" spans="2:2" x14ac:dyDescent="0.2">
      <c r="B550" s="1"/>
    </row>
    <row r="551" spans="2:2" x14ac:dyDescent="0.2">
      <c r="B551" s="1"/>
    </row>
    <row r="552" spans="2:2" x14ac:dyDescent="0.2">
      <c r="B552" s="1"/>
    </row>
    <row r="553" spans="2:2" x14ac:dyDescent="0.2">
      <c r="B553" s="1"/>
    </row>
    <row r="554" spans="2:2" x14ac:dyDescent="0.2">
      <c r="B554" s="1"/>
    </row>
    <row r="555" spans="2:2" x14ac:dyDescent="0.2">
      <c r="B555" s="1"/>
    </row>
    <row r="556" spans="2:2" x14ac:dyDescent="0.2">
      <c r="B556" s="1"/>
    </row>
    <row r="557" spans="2:2" x14ac:dyDescent="0.2">
      <c r="B557" s="1"/>
    </row>
    <row r="558" spans="2:2" x14ac:dyDescent="0.2">
      <c r="B558" s="1"/>
    </row>
    <row r="559" spans="2:2" x14ac:dyDescent="0.2">
      <c r="B559" s="1"/>
    </row>
    <row r="560" spans="2:2" x14ac:dyDescent="0.2">
      <c r="B560" s="1"/>
    </row>
    <row r="561" spans="2:2" x14ac:dyDescent="0.2">
      <c r="B561" s="1"/>
    </row>
    <row r="562" spans="2:2" x14ac:dyDescent="0.2">
      <c r="B562" s="1"/>
    </row>
    <row r="563" spans="2:2" x14ac:dyDescent="0.2">
      <c r="B563" s="1"/>
    </row>
    <row r="564" spans="2:2" x14ac:dyDescent="0.2">
      <c r="B564" s="1"/>
    </row>
    <row r="565" spans="2:2" x14ac:dyDescent="0.2">
      <c r="B565" s="1"/>
    </row>
    <row r="566" spans="2:2" x14ac:dyDescent="0.2">
      <c r="B566" s="1"/>
    </row>
    <row r="567" spans="2:2" x14ac:dyDescent="0.2">
      <c r="B567" s="1"/>
    </row>
    <row r="568" spans="2:2" x14ac:dyDescent="0.2">
      <c r="B568" s="1"/>
    </row>
    <row r="569" spans="2:2" x14ac:dyDescent="0.2">
      <c r="B569" s="1"/>
    </row>
    <row r="570" spans="2:2" x14ac:dyDescent="0.2">
      <c r="B570" s="1"/>
    </row>
    <row r="571" spans="2:2" x14ac:dyDescent="0.2">
      <c r="B571" s="1"/>
    </row>
    <row r="572" spans="2:2" x14ac:dyDescent="0.2">
      <c r="B572" s="1"/>
    </row>
    <row r="573" spans="2:2" x14ac:dyDescent="0.2">
      <c r="B573" s="1"/>
    </row>
    <row r="574" spans="2:2" x14ac:dyDescent="0.2">
      <c r="B574" s="1"/>
    </row>
    <row r="575" spans="2:2" x14ac:dyDescent="0.2">
      <c r="B575" s="1"/>
    </row>
    <row r="576" spans="2:2" x14ac:dyDescent="0.2">
      <c r="B576" s="1"/>
    </row>
    <row r="577" spans="2:2" x14ac:dyDescent="0.2">
      <c r="B577" s="1"/>
    </row>
    <row r="578" spans="2:2" x14ac:dyDescent="0.2">
      <c r="B578" s="1"/>
    </row>
    <row r="579" spans="2:2" x14ac:dyDescent="0.2">
      <c r="B579" s="1"/>
    </row>
    <row r="580" spans="2:2" x14ac:dyDescent="0.2">
      <c r="B580" s="1"/>
    </row>
    <row r="581" spans="2:2" x14ac:dyDescent="0.2">
      <c r="B581" s="1"/>
    </row>
    <row r="582" spans="2:2" x14ac:dyDescent="0.2">
      <c r="B582" s="1"/>
    </row>
    <row r="583" spans="2:2" x14ac:dyDescent="0.2">
      <c r="B583" s="1"/>
    </row>
    <row r="584" spans="2:2" x14ac:dyDescent="0.2">
      <c r="B584" s="1"/>
    </row>
    <row r="585" spans="2:2" x14ac:dyDescent="0.2">
      <c r="B585" s="1"/>
    </row>
    <row r="586" spans="2:2" x14ac:dyDescent="0.2">
      <c r="B586" s="1"/>
    </row>
    <row r="587" spans="2:2" x14ac:dyDescent="0.2">
      <c r="B587" s="1"/>
    </row>
    <row r="588" spans="2:2" x14ac:dyDescent="0.2">
      <c r="B588" s="1"/>
    </row>
    <row r="589" spans="2:2" x14ac:dyDescent="0.2">
      <c r="B589" s="1"/>
    </row>
    <row r="590" spans="2:2" x14ac:dyDescent="0.2">
      <c r="B590" s="1"/>
    </row>
    <row r="591" spans="2:2" x14ac:dyDescent="0.2">
      <c r="B591" s="1"/>
    </row>
    <row r="592" spans="2:2" x14ac:dyDescent="0.2">
      <c r="B592" s="1"/>
    </row>
    <row r="593" spans="2:2" x14ac:dyDescent="0.2">
      <c r="B593" s="1"/>
    </row>
    <row r="594" spans="2:2" x14ac:dyDescent="0.2">
      <c r="B594" s="1"/>
    </row>
    <row r="595" spans="2:2" x14ac:dyDescent="0.2">
      <c r="B595" s="1"/>
    </row>
    <row r="596" spans="2:2" x14ac:dyDescent="0.2">
      <c r="B596" s="1"/>
    </row>
    <row r="597" spans="2:2" x14ac:dyDescent="0.2">
      <c r="B597" s="1"/>
    </row>
    <row r="598" spans="2:2" x14ac:dyDescent="0.2">
      <c r="B598" s="1"/>
    </row>
    <row r="599" spans="2:2" x14ac:dyDescent="0.2">
      <c r="B599" s="1"/>
    </row>
    <row r="600" spans="2:2" x14ac:dyDescent="0.2">
      <c r="B600" s="1"/>
    </row>
    <row r="601" spans="2:2" x14ac:dyDescent="0.2">
      <c r="B601" s="1"/>
    </row>
    <row r="602" spans="2:2" x14ac:dyDescent="0.2">
      <c r="B602" s="1"/>
    </row>
    <row r="603" spans="2:2" x14ac:dyDescent="0.2">
      <c r="B603" s="1"/>
    </row>
    <row r="604" spans="2:2" x14ac:dyDescent="0.2">
      <c r="B604" s="1"/>
    </row>
    <row r="605" spans="2:2" x14ac:dyDescent="0.2">
      <c r="B605" s="1"/>
    </row>
    <row r="606" spans="2:2" x14ac:dyDescent="0.2">
      <c r="B606" s="1"/>
    </row>
    <row r="607" spans="2:2" x14ac:dyDescent="0.2">
      <c r="B607" s="1"/>
    </row>
    <row r="608" spans="2:2" x14ac:dyDescent="0.2">
      <c r="B608" s="1"/>
    </row>
    <row r="609" spans="2:2" x14ac:dyDescent="0.2">
      <c r="B609" s="1"/>
    </row>
    <row r="610" spans="2:2" x14ac:dyDescent="0.2">
      <c r="B610" s="1"/>
    </row>
    <row r="611" spans="2:2" x14ac:dyDescent="0.2">
      <c r="B611" s="1"/>
    </row>
    <row r="612" spans="2:2" x14ac:dyDescent="0.2">
      <c r="B612" s="1"/>
    </row>
    <row r="613" spans="2:2" x14ac:dyDescent="0.2">
      <c r="B613" s="1"/>
    </row>
    <row r="614" spans="2:2" x14ac:dyDescent="0.2">
      <c r="B614" s="1"/>
    </row>
    <row r="615" spans="2:2" x14ac:dyDescent="0.2">
      <c r="B615" s="1"/>
    </row>
    <row r="616" spans="2:2" x14ac:dyDescent="0.2">
      <c r="B616" s="1"/>
    </row>
    <row r="617" spans="2:2" x14ac:dyDescent="0.2">
      <c r="B617" s="1"/>
    </row>
    <row r="618" spans="2:2" x14ac:dyDescent="0.2">
      <c r="B618" s="1"/>
    </row>
    <row r="619" spans="2:2" x14ac:dyDescent="0.2">
      <c r="B619" s="1"/>
    </row>
    <row r="620" spans="2:2" x14ac:dyDescent="0.2">
      <c r="B620" s="1"/>
    </row>
    <row r="621" spans="2:2" x14ac:dyDescent="0.2">
      <c r="B621" s="1"/>
    </row>
    <row r="622" spans="2:2" x14ac:dyDescent="0.2">
      <c r="B622" s="1"/>
    </row>
    <row r="623" spans="2:2" x14ac:dyDescent="0.2">
      <c r="B623" s="1"/>
    </row>
    <row r="624" spans="2:2" x14ac:dyDescent="0.2">
      <c r="B624" s="1"/>
    </row>
    <row r="625" spans="2:2" x14ac:dyDescent="0.2">
      <c r="B625" s="1"/>
    </row>
    <row r="626" spans="2:2" x14ac:dyDescent="0.2">
      <c r="B626" s="1"/>
    </row>
    <row r="627" spans="2:2" x14ac:dyDescent="0.2">
      <c r="B627" s="1"/>
    </row>
    <row r="628" spans="2:2" x14ac:dyDescent="0.2">
      <c r="B628" s="1"/>
    </row>
    <row r="629" spans="2:2" x14ac:dyDescent="0.2">
      <c r="B629" s="1"/>
    </row>
    <row r="630" spans="2:2" x14ac:dyDescent="0.2">
      <c r="B630" s="1"/>
    </row>
    <row r="631" spans="2:2" x14ac:dyDescent="0.2">
      <c r="B631" s="1"/>
    </row>
    <row r="632" spans="2:2" x14ac:dyDescent="0.2">
      <c r="B632" s="1"/>
    </row>
    <row r="633" spans="2:2" x14ac:dyDescent="0.2">
      <c r="B633" s="1"/>
    </row>
    <row r="634" spans="2:2" x14ac:dyDescent="0.2">
      <c r="B634" s="1"/>
    </row>
    <row r="635" spans="2:2" x14ac:dyDescent="0.2">
      <c r="B635" s="1"/>
    </row>
    <row r="636" spans="2:2" x14ac:dyDescent="0.2">
      <c r="B636" s="1"/>
    </row>
    <row r="637" spans="2:2" x14ac:dyDescent="0.2">
      <c r="B637" s="1"/>
    </row>
    <row r="638" spans="2:2" x14ac:dyDescent="0.2">
      <c r="B638" s="1"/>
    </row>
    <row r="639" spans="2:2" x14ac:dyDescent="0.2">
      <c r="B639" s="1"/>
    </row>
    <row r="640" spans="2:2" x14ac:dyDescent="0.2">
      <c r="B640" s="1"/>
    </row>
    <row r="641" spans="2:2" x14ac:dyDescent="0.2">
      <c r="B641" s="1"/>
    </row>
    <row r="642" spans="2:2" x14ac:dyDescent="0.2">
      <c r="B642" s="1"/>
    </row>
    <row r="643" spans="2:2" x14ac:dyDescent="0.2">
      <c r="B643" s="1"/>
    </row>
    <row r="644" spans="2:2" x14ac:dyDescent="0.2">
      <c r="B644" s="1"/>
    </row>
    <row r="645" spans="2:2" x14ac:dyDescent="0.2">
      <c r="B645" s="1"/>
    </row>
    <row r="646" spans="2:2" x14ac:dyDescent="0.2">
      <c r="B646" s="1"/>
    </row>
    <row r="647" spans="2:2" x14ac:dyDescent="0.2">
      <c r="B647" s="1"/>
    </row>
    <row r="648" spans="2:2" x14ac:dyDescent="0.2">
      <c r="B648" s="1"/>
    </row>
    <row r="649" spans="2:2" x14ac:dyDescent="0.2">
      <c r="B649" s="1"/>
    </row>
    <row r="650" spans="2:2" x14ac:dyDescent="0.2">
      <c r="B650" s="1"/>
    </row>
    <row r="651" spans="2:2" x14ac:dyDescent="0.2">
      <c r="B651" s="1"/>
    </row>
    <row r="652" spans="2:2" x14ac:dyDescent="0.2">
      <c r="B652" s="1"/>
    </row>
    <row r="653" spans="2:2" x14ac:dyDescent="0.2">
      <c r="B653" s="1"/>
    </row>
    <row r="654" spans="2:2" x14ac:dyDescent="0.2">
      <c r="B654" s="1"/>
    </row>
    <row r="655" spans="2:2" x14ac:dyDescent="0.2">
      <c r="B655" s="1"/>
    </row>
    <row r="656" spans="2:2" x14ac:dyDescent="0.2">
      <c r="B656" s="1"/>
    </row>
    <row r="657" spans="2:2" x14ac:dyDescent="0.2">
      <c r="B657" s="1"/>
    </row>
    <row r="658" spans="2:2" x14ac:dyDescent="0.2">
      <c r="B658" s="1"/>
    </row>
    <row r="659" spans="2:2" x14ac:dyDescent="0.2">
      <c r="B659" s="1"/>
    </row>
    <row r="660" spans="2:2" x14ac:dyDescent="0.2">
      <c r="B660" s="1"/>
    </row>
    <row r="661" spans="2:2" x14ac:dyDescent="0.2">
      <c r="B661" s="1"/>
    </row>
    <row r="662" spans="2:2" x14ac:dyDescent="0.2">
      <c r="B662" s="1"/>
    </row>
    <row r="663" spans="2:2" x14ac:dyDescent="0.2">
      <c r="B663" s="1"/>
    </row>
    <row r="664" spans="2:2" x14ac:dyDescent="0.2">
      <c r="B664" s="1"/>
    </row>
    <row r="665" spans="2:2" x14ac:dyDescent="0.2">
      <c r="B665" s="1"/>
    </row>
    <row r="666" spans="2:2" x14ac:dyDescent="0.2">
      <c r="B666" s="1"/>
    </row>
    <row r="667" spans="2:2" x14ac:dyDescent="0.2">
      <c r="B667" s="1"/>
    </row>
    <row r="668" spans="2:2" x14ac:dyDescent="0.2">
      <c r="B668" s="1"/>
    </row>
    <row r="669" spans="2:2" x14ac:dyDescent="0.2">
      <c r="B669" s="1"/>
    </row>
    <row r="670" spans="2:2" x14ac:dyDescent="0.2">
      <c r="B670" s="1"/>
    </row>
    <row r="671" spans="2:2" x14ac:dyDescent="0.2">
      <c r="B671" s="1"/>
    </row>
    <row r="672" spans="2:2" x14ac:dyDescent="0.2">
      <c r="B672" s="1"/>
    </row>
    <row r="673" spans="2:2" x14ac:dyDescent="0.2">
      <c r="B673" s="1"/>
    </row>
    <row r="674" spans="2:2" x14ac:dyDescent="0.2">
      <c r="B674" s="1"/>
    </row>
    <row r="675" spans="2:2" x14ac:dyDescent="0.2">
      <c r="B675" s="1"/>
    </row>
    <row r="676" spans="2:2" x14ac:dyDescent="0.2">
      <c r="B676" s="1"/>
    </row>
    <row r="677" spans="2:2" x14ac:dyDescent="0.2">
      <c r="B677" s="1"/>
    </row>
    <row r="678" spans="2:2" x14ac:dyDescent="0.2">
      <c r="B678" s="1"/>
    </row>
    <row r="679" spans="2:2" x14ac:dyDescent="0.2">
      <c r="B679" s="1"/>
    </row>
    <row r="680" spans="2:2" x14ac:dyDescent="0.2">
      <c r="B680" s="1"/>
    </row>
    <row r="681" spans="2:2" x14ac:dyDescent="0.2">
      <c r="B681" s="1"/>
    </row>
    <row r="682" spans="2:2" x14ac:dyDescent="0.2">
      <c r="B682" s="1"/>
    </row>
    <row r="683" spans="2:2" x14ac:dyDescent="0.2">
      <c r="B683" s="1"/>
    </row>
    <row r="684" spans="2:2" x14ac:dyDescent="0.2">
      <c r="B684" s="1"/>
    </row>
    <row r="685" spans="2:2" x14ac:dyDescent="0.2">
      <c r="B685" s="1"/>
    </row>
    <row r="686" spans="2:2" x14ac:dyDescent="0.2">
      <c r="B686" s="1"/>
    </row>
    <row r="687" spans="2:2" x14ac:dyDescent="0.2">
      <c r="B687" s="1"/>
    </row>
    <row r="688" spans="2:2" x14ac:dyDescent="0.2">
      <c r="B688" s="1"/>
    </row>
    <row r="689" spans="2:2" x14ac:dyDescent="0.2">
      <c r="B689" s="1"/>
    </row>
    <row r="690" spans="2:2" x14ac:dyDescent="0.2">
      <c r="B690" s="1"/>
    </row>
    <row r="691" spans="2:2" x14ac:dyDescent="0.2">
      <c r="B691" s="1"/>
    </row>
    <row r="692" spans="2:2" x14ac:dyDescent="0.2">
      <c r="B692" s="1"/>
    </row>
    <row r="693" spans="2:2" x14ac:dyDescent="0.2">
      <c r="B693" s="1"/>
    </row>
    <row r="694" spans="2:2" x14ac:dyDescent="0.2">
      <c r="B694" s="1"/>
    </row>
    <row r="695" spans="2:2" x14ac:dyDescent="0.2">
      <c r="B695" s="1"/>
    </row>
    <row r="696" spans="2:2" x14ac:dyDescent="0.2">
      <c r="B696" s="1"/>
    </row>
    <row r="697" spans="2:2" x14ac:dyDescent="0.2">
      <c r="B697" s="1"/>
    </row>
    <row r="698" spans="2:2" x14ac:dyDescent="0.2">
      <c r="B698" s="1"/>
    </row>
    <row r="699" spans="2:2" x14ac:dyDescent="0.2">
      <c r="B699" s="1"/>
    </row>
    <row r="700" spans="2:2" x14ac:dyDescent="0.2">
      <c r="B700" s="1"/>
    </row>
    <row r="701" spans="2:2" x14ac:dyDescent="0.2">
      <c r="B701" s="1"/>
    </row>
    <row r="702" spans="2:2" x14ac:dyDescent="0.2">
      <c r="B702" s="1"/>
    </row>
    <row r="703" spans="2:2" x14ac:dyDescent="0.2">
      <c r="B703" s="1"/>
    </row>
    <row r="704" spans="2:2" x14ac:dyDescent="0.2">
      <c r="B704" s="1"/>
    </row>
    <row r="705" spans="2:2" x14ac:dyDescent="0.2">
      <c r="B705" s="1"/>
    </row>
    <row r="706" spans="2:2" x14ac:dyDescent="0.2">
      <c r="B706" s="1"/>
    </row>
    <row r="707" spans="2:2" x14ac:dyDescent="0.2">
      <c r="B707" s="1"/>
    </row>
    <row r="708" spans="2:2" x14ac:dyDescent="0.2">
      <c r="B708" s="1"/>
    </row>
    <row r="709" spans="2:2" x14ac:dyDescent="0.2">
      <c r="B709" s="1"/>
    </row>
    <row r="710" spans="2:2" x14ac:dyDescent="0.2">
      <c r="B710" s="1"/>
    </row>
    <row r="711" spans="2:2" x14ac:dyDescent="0.2">
      <c r="B711" s="1"/>
    </row>
    <row r="712" spans="2:2" x14ac:dyDescent="0.2">
      <c r="B712" s="1"/>
    </row>
    <row r="713" spans="2:2" x14ac:dyDescent="0.2">
      <c r="B713" s="1"/>
    </row>
    <row r="714" spans="2:2" x14ac:dyDescent="0.2">
      <c r="B714" s="1"/>
    </row>
    <row r="715" spans="2:2" x14ac:dyDescent="0.2">
      <c r="B715" s="1"/>
    </row>
    <row r="716" spans="2:2" x14ac:dyDescent="0.2">
      <c r="B716" s="1"/>
    </row>
    <row r="717" spans="2:2" x14ac:dyDescent="0.2">
      <c r="B717" s="1"/>
    </row>
    <row r="718" spans="2:2" x14ac:dyDescent="0.2">
      <c r="B718" s="1"/>
    </row>
    <row r="719" spans="2:2" x14ac:dyDescent="0.2">
      <c r="B719" s="1"/>
    </row>
    <row r="720" spans="2:2" x14ac:dyDescent="0.2">
      <c r="B720" s="1"/>
    </row>
    <row r="721" spans="2:2" x14ac:dyDescent="0.2">
      <c r="B721" s="1"/>
    </row>
    <row r="722" spans="2:2" x14ac:dyDescent="0.2">
      <c r="B722" s="1"/>
    </row>
    <row r="723" spans="2:2" x14ac:dyDescent="0.2">
      <c r="B723" s="1"/>
    </row>
    <row r="724" spans="2:2" x14ac:dyDescent="0.2">
      <c r="B724" s="1"/>
    </row>
    <row r="725" spans="2:2" x14ac:dyDescent="0.2">
      <c r="B725" s="1"/>
    </row>
    <row r="726" spans="2:2" x14ac:dyDescent="0.2">
      <c r="B726" s="1"/>
    </row>
    <row r="727" spans="2:2" x14ac:dyDescent="0.2">
      <c r="B727" s="1"/>
    </row>
    <row r="728" spans="2:2" x14ac:dyDescent="0.2">
      <c r="B728" s="1"/>
    </row>
    <row r="729" spans="2:2" x14ac:dyDescent="0.2">
      <c r="B729" s="1"/>
    </row>
    <row r="730" spans="2:2" x14ac:dyDescent="0.2">
      <c r="B730" s="1"/>
    </row>
    <row r="731" spans="2:2" x14ac:dyDescent="0.2">
      <c r="B731" s="1"/>
    </row>
    <row r="732" spans="2:2" x14ac:dyDescent="0.2">
      <c r="B732" s="1"/>
    </row>
    <row r="733" spans="2:2" x14ac:dyDescent="0.2">
      <c r="B733" s="1"/>
    </row>
    <row r="734" spans="2:2" x14ac:dyDescent="0.2">
      <c r="B734" s="1"/>
    </row>
    <row r="735" spans="2:2" x14ac:dyDescent="0.2">
      <c r="B735" s="1"/>
    </row>
    <row r="736" spans="2:2" x14ac:dyDescent="0.2">
      <c r="B736" s="1"/>
    </row>
    <row r="737" spans="2:2" x14ac:dyDescent="0.2">
      <c r="B737" s="1"/>
    </row>
    <row r="738" spans="2:2" x14ac:dyDescent="0.2">
      <c r="B738" s="1"/>
    </row>
    <row r="739" spans="2:2" x14ac:dyDescent="0.2">
      <c r="B739" s="1"/>
    </row>
    <row r="740" spans="2:2" x14ac:dyDescent="0.2">
      <c r="B740" s="1"/>
    </row>
    <row r="741" spans="2:2" x14ac:dyDescent="0.2">
      <c r="B741" s="1"/>
    </row>
    <row r="742" spans="2:2" x14ac:dyDescent="0.2">
      <c r="B742" s="1"/>
    </row>
    <row r="743" spans="2:2" x14ac:dyDescent="0.2">
      <c r="B743" s="1"/>
    </row>
    <row r="744" spans="2:2" x14ac:dyDescent="0.2">
      <c r="B744" s="1"/>
    </row>
    <row r="745" spans="2:2" x14ac:dyDescent="0.2">
      <c r="B745" s="1"/>
    </row>
    <row r="746" spans="2:2" x14ac:dyDescent="0.2">
      <c r="B746" s="1"/>
    </row>
    <row r="747" spans="2:2" x14ac:dyDescent="0.2">
      <c r="B747" s="1"/>
    </row>
    <row r="748" spans="2:2" x14ac:dyDescent="0.2">
      <c r="B748" s="1"/>
    </row>
    <row r="749" spans="2:2" x14ac:dyDescent="0.2">
      <c r="B749" s="1"/>
    </row>
    <row r="750" spans="2:2" x14ac:dyDescent="0.2">
      <c r="B750" s="1"/>
    </row>
    <row r="751" spans="2:2" x14ac:dyDescent="0.2">
      <c r="B751" s="1"/>
    </row>
    <row r="752" spans="2:2" x14ac:dyDescent="0.2">
      <c r="B752" s="1"/>
    </row>
    <row r="753" spans="2:2" x14ac:dyDescent="0.2">
      <c r="B753" s="1"/>
    </row>
    <row r="754" spans="2:2" x14ac:dyDescent="0.2">
      <c r="B754" s="1"/>
    </row>
    <row r="755" spans="2:2" x14ac:dyDescent="0.2">
      <c r="B755" s="1"/>
    </row>
    <row r="756" spans="2:2" x14ac:dyDescent="0.2">
      <c r="B756" s="1"/>
    </row>
    <row r="757" spans="2:2" x14ac:dyDescent="0.2">
      <c r="B757" s="1"/>
    </row>
    <row r="758" spans="2:2" x14ac:dyDescent="0.2">
      <c r="B758" s="1"/>
    </row>
    <row r="759" spans="2:2" x14ac:dyDescent="0.2">
      <c r="B759" s="1"/>
    </row>
    <row r="760" spans="2:2" x14ac:dyDescent="0.2">
      <c r="B760" s="1"/>
    </row>
    <row r="761" spans="2:2" x14ac:dyDescent="0.2">
      <c r="B761" s="1"/>
    </row>
    <row r="762" spans="2:2" x14ac:dyDescent="0.2">
      <c r="B762" s="1"/>
    </row>
    <row r="763" spans="2:2" x14ac:dyDescent="0.2">
      <c r="B763" s="1"/>
    </row>
    <row r="764" spans="2:2" x14ac:dyDescent="0.2">
      <c r="B764" s="1"/>
    </row>
    <row r="765" spans="2:2" x14ac:dyDescent="0.2">
      <c r="B765" s="1"/>
    </row>
    <row r="766" spans="2:2" x14ac:dyDescent="0.2">
      <c r="B766" s="1"/>
    </row>
    <row r="767" spans="2:2" x14ac:dyDescent="0.2">
      <c r="B767" s="1"/>
    </row>
    <row r="768" spans="2:2" x14ac:dyDescent="0.2">
      <c r="B768" s="1"/>
    </row>
    <row r="769" spans="2:2" x14ac:dyDescent="0.2">
      <c r="B769" s="1"/>
    </row>
    <row r="770" spans="2:2" x14ac:dyDescent="0.2">
      <c r="B770" s="1"/>
    </row>
    <row r="771" spans="2:2" x14ac:dyDescent="0.2">
      <c r="B771" s="1"/>
    </row>
    <row r="772" spans="2:2" x14ac:dyDescent="0.2">
      <c r="B772" s="1"/>
    </row>
    <row r="773" spans="2:2" x14ac:dyDescent="0.2">
      <c r="B773" s="1"/>
    </row>
    <row r="774" spans="2:2" x14ac:dyDescent="0.2">
      <c r="B774" s="1"/>
    </row>
    <row r="775" spans="2:2" x14ac:dyDescent="0.2">
      <c r="B775" s="1"/>
    </row>
    <row r="776" spans="2:2" x14ac:dyDescent="0.2">
      <c r="B776" s="1"/>
    </row>
    <row r="777" spans="2:2" x14ac:dyDescent="0.2">
      <c r="B777" s="1"/>
    </row>
    <row r="778" spans="2:2" x14ac:dyDescent="0.2">
      <c r="B778" s="1"/>
    </row>
    <row r="779" spans="2:2" x14ac:dyDescent="0.2">
      <c r="B779" s="1"/>
    </row>
    <row r="780" spans="2:2" x14ac:dyDescent="0.2">
      <c r="B780" s="1"/>
    </row>
    <row r="781" spans="2:2" x14ac:dyDescent="0.2">
      <c r="B781" s="1"/>
    </row>
    <row r="782" spans="2:2" x14ac:dyDescent="0.2">
      <c r="B782" s="1"/>
    </row>
    <row r="783" spans="2:2" x14ac:dyDescent="0.2">
      <c r="B783" s="1"/>
    </row>
    <row r="784" spans="2:2" x14ac:dyDescent="0.2">
      <c r="B784" s="1"/>
    </row>
    <row r="785" spans="2:2" x14ac:dyDescent="0.2">
      <c r="B785" s="1"/>
    </row>
    <row r="786" spans="2:2" x14ac:dyDescent="0.2">
      <c r="B786" s="1"/>
    </row>
    <row r="787" spans="2:2" x14ac:dyDescent="0.2">
      <c r="B787" s="1"/>
    </row>
    <row r="788" spans="2:2" x14ac:dyDescent="0.2">
      <c r="B788" s="1"/>
    </row>
    <row r="789" spans="2:2" x14ac:dyDescent="0.2">
      <c r="B789" s="1"/>
    </row>
    <row r="790" spans="2:2" x14ac:dyDescent="0.2">
      <c r="B790" s="1"/>
    </row>
    <row r="791" spans="2:2" x14ac:dyDescent="0.2">
      <c r="B791" s="1"/>
    </row>
    <row r="792" spans="2:2" x14ac:dyDescent="0.2">
      <c r="B792" s="1"/>
    </row>
    <row r="793" spans="2:2" x14ac:dyDescent="0.2">
      <c r="B793" s="1"/>
    </row>
    <row r="794" spans="2:2" x14ac:dyDescent="0.2">
      <c r="B794" s="1"/>
    </row>
    <row r="795" spans="2:2" x14ac:dyDescent="0.2">
      <c r="B795" s="1"/>
    </row>
    <row r="796" spans="2:2" x14ac:dyDescent="0.2">
      <c r="B796" s="1"/>
    </row>
    <row r="797" spans="2:2" x14ac:dyDescent="0.2">
      <c r="B797" s="1"/>
    </row>
    <row r="798" spans="2:2" x14ac:dyDescent="0.2">
      <c r="B798" s="1"/>
    </row>
    <row r="799" spans="2:2" x14ac:dyDescent="0.2">
      <c r="B799" s="1"/>
    </row>
    <row r="800" spans="2:2" x14ac:dyDescent="0.2">
      <c r="B800" s="1"/>
    </row>
    <row r="801" spans="2:2" x14ac:dyDescent="0.2">
      <c r="B801" s="1"/>
    </row>
    <row r="802" spans="2:2" x14ac:dyDescent="0.2">
      <c r="B802" s="1"/>
    </row>
    <row r="803" spans="2:2" x14ac:dyDescent="0.2">
      <c r="B803" s="1"/>
    </row>
    <row r="804" spans="2:2" x14ac:dyDescent="0.2">
      <c r="B804" s="1"/>
    </row>
    <row r="805" spans="2:2" x14ac:dyDescent="0.2">
      <c r="B805" s="1"/>
    </row>
    <row r="806" spans="2:2" x14ac:dyDescent="0.2">
      <c r="B806" s="1"/>
    </row>
    <row r="807" spans="2:2" x14ac:dyDescent="0.2">
      <c r="B807" s="1"/>
    </row>
    <row r="808" spans="2:2" x14ac:dyDescent="0.2">
      <c r="B808" s="1"/>
    </row>
    <row r="809" spans="2:2" x14ac:dyDescent="0.2">
      <c r="B809" s="1"/>
    </row>
    <row r="810" spans="2:2" x14ac:dyDescent="0.2">
      <c r="B810" s="1"/>
    </row>
    <row r="811" spans="2:2" x14ac:dyDescent="0.2">
      <c r="B811" s="1"/>
    </row>
    <row r="812" spans="2:2" x14ac:dyDescent="0.2">
      <c r="B812" s="1"/>
    </row>
    <row r="813" spans="2:2" x14ac:dyDescent="0.2">
      <c r="B813" s="1"/>
    </row>
    <row r="814" spans="2:2" x14ac:dyDescent="0.2">
      <c r="B814" s="1"/>
    </row>
    <row r="815" spans="2:2" x14ac:dyDescent="0.2">
      <c r="B815" s="1"/>
    </row>
    <row r="816" spans="2:2" x14ac:dyDescent="0.2">
      <c r="B816" s="1"/>
    </row>
    <row r="817" spans="2:2" x14ac:dyDescent="0.2">
      <c r="B817" s="1"/>
    </row>
    <row r="818" spans="2:2" x14ac:dyDescent="0.2">
      <c r="B818" s="1"/>
    </row>
    <row r="819" spans="2:2" x14ac:dyDescent="0.2">
      <c r="B819" s="1"/>
    </row>
    <row r="820" spans="2:2" x14ac:dyDescent="0.2">
      <c r="B820" s="1"/>
    </row>
    <row r="821" spans="2:2" x14ac:dyDescent="0.2">
      <c r="B821" s="1"/>
    </row>
    <row r="822" spans="2:2" x14ac:dyDescent="0.2">
      <c r="B822" s="1"/>
    </row>
    <row r="823" spans="2:2" x14ac:dyDescent="0.2">
      <c r="B823" s="1"/>
    </row>
    <row r="824" spans="2:2" x14ac:dyDescent="0.2">
      <c r="B824" s="1"/>
    </row>
    <row r="825" spans="2:2" x14ac:dyDescent="0.2">
      <c r="B825" s="1"/>
    </row>
    <row r="826" spans="2:2" x14ac:dyDescent="0.2">
      <c r="B826" s="1"/>
    </row>
    <row r="827" spans="2:2" x14ac:dyDescent="0.2">
      <c r="B827" s="1"/>
    </row>
    <row r="828" spans="2:2" x14ac:dyDescent="0.2">
      <c r="B828" s="1"/>
    </row>
    <row r="829" spans="2:2" x14ac:dyDescent="0.2">
      <c r="B829" s="1"/>
    </row>
    <row r="830" spans="2:2" x14ac:dyDescent="0.2">
      <c r="B830" s="1"/>
    </row>
    <row r="831" spans="2:2" x14ac:dyDescent="0.2">
      <c r="B831" s="1"/>
    </row>
    <row r="832" spans="2:2" x14ac:dyDescent="0.2">
      <c r="B832" s="1"/>
    </row>
    <row r="833" spans="2:2" x14ac:dyDescent="0.2">
      <c r="B833" s="1"/>
    </row>
    <row r="834" spans="2:2" x14ac:dyDescent="0.2">
      <c r="B834" s="1"/>
    </row>
    <row r="835" spans="2:2" x14ac:dyDescent="0.2">
      <c r="B835" s="1"/>
    </row>
    <row r="836" spans="2:2" x14ac:dyDescent="0.2">
      <c r="B836" s="1"/>
    </row>
    <row r="837" spans="2:2" x14ac:dyDescent="0.2">
      <c r="B837" s="1"/>
    </row>
    <row r="838" spans="2:2" x14ac:dyDescent="0.2">
      <c r="B838" s="1"/>
    </row>
    <row r="839" spans="2:2" x14ac:dyDescent="0.2">
      <c r="B839" s="1"/>
    </row>
    <row r="840" spans="2:2" x14ac:dyDescent="0.2">
      <c r="B840" s="1"/>
    </row>
    <row r="841" spans="2:2" x14ac:dyDescent="0.2">
      <c r="B841" s="1"/>
    </row>
    <row r="842" spans="2:2" x14ac:dyDescent="0.2">
      <c r="B842" s="1"/>
    </row>
    <row r="843" spans="2:2" x14ac:dyDescent="0.2">
      <c r="B843" s="1"/>
    </row>
    <row r="844" spans="2:2" x14ac:dyDescent="0.2">
      <c r="B844" s="1"/>
    </row>
    <row r="845" spans="2:2" x14ac:dyDescent="0.2">
      <c r="B845" s="1"/>
    </row>
    <row r="846" spans="2:2" x14ac:dyDescent="0.2">
      <c r="B846" s="1"/>
    </row>
    <row r="847" spans="2:2" x14ac:dyDescent="0.2">
      <c r="B847" s="1"/>
    </row>
    <row r="848" spans="2:2" x14ac:dyDescent="0.2">
      <c r="B848" s="1"/>
    </row>
    <row r="849" spans="2:2" x14ac:dyDescent="0.2">
      <c r="B849" s="1"/>
    </row>
    <row r="850" spans="2:2" x14ac:dyDescent="0.2">
      <c r="B850" s="1"/>
    </row>
    <row r="851" spans="2:2" x14ac:dyDescent="0.2">
      <c r="B851" s="1"/>
    </row>
    <row r="852" spans="2:2" x14ac:dyDescent="0.2">
      <c r="B852" s="1"/>
    </row>
    <row r="853" spans="2:2" x14ac:dyDescent="0.2">
      <c r="B853" s="1"/>
    </row>
    <row r="854" spans="2:2" x14ac:dyDescent="0.2">
      <c r="B854" s="1"/>
    </row>
    <row r="855" spans="2:2" x14ac:dyDescent="0.2">
      <c r="B855" s="1"/>
    </row>
    <row r="856" spans="2:2" x14ac:dyDescent="0.2">
      <c r="B856" s="1"/>
    </row>
    <row r="857" spans="2:2" x14ac:dyDescent="0.2">
      <c r="B857" s="1"/>
    </row>
    <row r="858" spans="2:2" x14ac:dyDescent="0.2">
      <c r="B858" s="1"/>
    </row>
    <row r="859" spans="2:2" x14ac:dyDescent="0.2">
      <c r="B859" s="1"/>
    </row>
    <row r="860" spans="2:2" x14ac:dyDescent="0.2">
      <c r="B860" s="1"/>
    </row>
    <row r="861" spans="2:2" x14ac:dyDescent="0.2">
      <c r="B861" s="1"/>
    </row>
    <row r="862" spans="2:2" x14ac:dyDescent="0.2">
      <c r="B862" s="1"/>
    </row>
    <row r="863" spans="2:2" x14ac:dyDescent="0.2">
      <c r="B863" s="1"/>
    </row>
    <row r="864" spans="2:2" x14ac:dyDescent="0.2">
      <c r="B864" s="1"/>
    </row>
    <row r="865" spans="2:2" x14ac:dyDescent="0.2">
      <c r="B865" s="1"/>
    </row>
    <row r="866" spans="2:2" x14ac:dyDescent="0.2">
      <c r="B866" s="1"/>
    </row>
    <row r="867" spans="2:2" x14ac:dyDescent="0.2">
      <c r="B867" s="1"/>
    </row>
    <row r="868" spans="2:2" x14ac:dyDescent="0.2">
      <c r="B868" s="1"/>
    </row>
    <row r="869" spans="2:2" x14ac:dyDescent="0.2">
      <c r="B869" s="1"/>
    </row>
    <row r="870" spans="2:2" x14ac:dyDescent="0.2">
      <c r="B870" s="1"/>
    </row>
    <row r="871" spans="2:2" x14ac:dyDescent="0.2">
      <c r="B871" s="1"/>
    </row>
    <row r="872" spans="2:2" x14ac:dyDescent="0.2">
      <c r="B872" s="1"/>
    </row>
    <row r="873" spans="2:2" x14ac:dyDescent="0.2">
      <c r="B873" s="1"/>
    </row>
    <row r="874" spans="2:2" x14ac:dyDescent="0.2">
      <c r="B874" s="1"/>
    </row>
    <row r="875" spans="2:2" x14ac:dyDescent="0.2">
      <c r="B875" s="1"/>
    </row>
    <row r="876" spans="2:2" x14ac:dyDescent="0.2">
      <c r="B876" s="1"/>
    </row>
    <row r="877" spans="2:2" x14ac:dyDescent="0.2">
      <c r="B877" s="1"/>
    </row>
    <row r="878" spans="2:2" x14ac:dyDescent="0.2">
      <c r="B878" s="1"/>
    </row>
    <row r="879" spans="2:2" x14ac:dyDescent="0.2">
      <c r="B879" s="1"/>
    </row>
    <row r="880" spans="2:2" x14ac:dyDescent="0.2">
      <c r="B880" s="1"/>
    </row>
    <row r="881" spans="2:2" x14ac:dyDescent="0.2">
      <c r="B881" s="1"/>
    </row>
    <row r="882" spans="2:2" x14ac:dyDescent="0.2">
      <c r="B882" s="1"/>
    </row>
    <row r="883" spans="2:2" x14ac:dyDescent="0.2">
      <c r="B883" s="1"/>
    </row>
    <row r="884" spans="2:2" x14ac:dyDescent="0.2">
      <c r="B884" s="1"/>
    </row>
    <row r="885" spans="2:2" x14ac:dyDescent="0.2">
      <c r="B885" s="1"/>
    </row>
    <row r="886" spans="2:2" x14ac:dyDescent="0.2">
      <c r="B886" s="1"/>
    </row>
    <row r="887" spans="2:2" x14ac:dyDescent="0.2">
      <c r="B887" s="1"/>
    </row>
    <row r="888" spans="2:2" x14ac:dyDescent="0.2">
      <c r="B888" s="1"/>
    </row>
    <row r="889" spans="2:2" x14ac:dyDescent="0.2">
      <c r="B889" s="1"/>
    </row>
    <row r="890" spans="2:2" x14ac:dyDescent="0.2">
      <c r="B890" s="1"/>
    </row>
    <row r="891" spans="2:2" x14ac:dyDescent="0.2">
      <c r="B891" s="1"/>
    </row>
    <row r="892" spans="2:2" x14ac:dyDescent="0.2">
      <c r="B892" s="1"/>
    </row>
    <row r="893" spans="2:2" x14ac:dyDescent="0.2">
      <c r="B893" s="1"/>
    </row>
    <row r="894" spans="2:2" x14ac:dyDescent="0.2">
      <c r="B894" s="1"/>
    </row>
    <row r="895" spans="2:2" x14ac:dyDescent="0.2">
      <c r="B895" s="1"/>
    </row>
    <row r="896" spans="2:2" x14ac:dyDescent="0.2">
      <c r="B896" s="1"/>
    </row>
    <row r="897" spans="2:2" x14ac:dyDescent="0.2">
      <c r="B897" s="1"/>
    </row>
    <row r="898" spans="2:2" x14ac:dyDescent="0.2">
      <c r="B898" s="1"/>
    </row>
    <row r="899" spans="2:2" x14ac:dyDescent="0.2">
      <c r="B899" s="1"/>
    </row>
    <row r="900" spans="2:2" x14ac:dyDescent="0.2">
      <c r="B900" s="1"/>
    </row>
    <row r="901" spans="2:2" x14ac:dyDescent="0.2">
      <c r="B901" s="1"/>
    </row>
    <row r="902" spans="2:2" x14ac:dyDescent="0.2">
      <c r="B902" s="1"/>
    </row>
    <row r="903" spans="2:2" x14ac:dyDescent="0.2">
      <c r="B903" s="1"/>
    </row>
    <row r="904" spans="2:2" x14ac:dyDescent="0.2">
      <c r="B904" s="1"/>
    </row>
    <row r="905" spans="2:2" x14ac:dyDescent="0.2">
      <c r="B905" s="1"/>
    </row>
    <row r="906" spans="2:2" x14ac:dyDescent="0.2">
      <c r="B906" s="1"/>
    </row>
    <row r="907" spans="2:2" x14ac:dyDescent="0.2">
      <c r="B907" s="1"/>
    </row>
    <row r="908" spans="2:2" x14ac:dyDescent="0.2">
      <c r="B908" s="1"/>
    </row>
    <row r="909" spans="2:2" x14ac:dyDescent="0.2">
      <c r="B909" s="1"/>
    </row>
    <row r="910" spans="2:2" x14ac:dyDescent="0.2">
      <c r="B910" s="1"/>
    </row>
    <row r="911" spans="2:2" x14ac:dyDescent="0.2">
      <c r="B911" s="1"/>
    </row>
    <row r="912" spans="2:2" x14ac:dyDescent="0.2">
      <c r="B912" s="1"/>
    </row>
    <row r="913" spans="2:2" x14ac:dyDescent="0.2">
      <c r="B913" s="1"/>
    </row>
    <row r="914" spans="2:2" x14ac:dyDescent="0.2">
      <c r="B914" s="1"/>
    </row>
    <row r="915" spans="2:2" x14ac:dyDescent="0.2">
      <c r="B915" s="1"/>
    </row>
    <row r="916" spans="2:2" x14ac:dyDescent="0.2">
      <c r="B916" s="1"/>
    </row>
    <row r="917" spans="2:2" x14ac:dyDescent="0.2">
      <c r="B917" s="1"/>
    </row>
    <row r="918" spans="2:2" x14ac:dyDescent="0.2">
      <c r="B918" s="1"/>
    </row>
    <row r="919" spans="2:2" x14ac:dyDescent="0.2">
      <c r="B919" s="1"/>
    </row>
    <row r="920" spans="2:2" x14ac:dyDescent="0.2">
      <c r="B920" s="1"/>
    </row>
    <row r="921" spans="2:2" x14ac:dyDescent="0.2">
      <c r="B921" s="1"/>
    </row>
    <row r="922" spans="2:2" x14ac:dyDescent="0.2">
      <c r="B922" s="1"/>
    </row>
    <row r="923" spans="2:2" x14ac:dyDescent="0.2">
      <c r="B923" s="1"/>
    </row>
    <row r="924" spans="2:2" x14ac:dyDescent="0.2">
      <c r="B924" s="1"/>
    </row>
    <row r="925" spans="2:2" x14ac:dyDescent="0.2">
      <c r="B925" s="1"/>
    </row>
    <row r="926" spans="2:2" x14ac:dyDescent="0.2">
      <c r="B926" s="1"/>
    </row>
    <row r="927" spans="2:2" x14ac:dyDescent="0.2">
      <c r="B927" s="1"/>
    </row>
    <row r="928" spans="2:2" x14ac:dyDescent="0.2">
      <c r="B928" s="1"/>
    </row>
    <row r="929" spans="2:2" x14ac:dyDescent="0.2">
      <c r="B929" s="1"/>
    </row>
    <row r="930" spans="2:2" x14ac:dyDescent="0.2">
      <c r="B930" s="1"/>
    </row>
    <row r="931" spans="2:2" x14ac:dyDescent="0.2">
      <c r="B931" s="1"/>
    </row>
    <row r="932" spans="2:2" x14ac:dyDescent="0.2">
      <c r="B932" s="1"/>
    </row>
    <row r="933" spans="2:2" x14ac:dyDescent="0.2">
      <c r="B933" s="1"/>
    </row>
    <row r="934" spans="2:2" x14ac:dyDescent="0.2">
      <c r="B934" s="1"/>
    </row>
    <row r="935" spans="2:2" x14ac:dyDescent="0.2">
      <c r="B935" s="1"/>
    </row>
    <row r="936" spans="2:2" x14ac:dyDescent="0.2">
      <c r="B936" s="1"/>
    </row>
    <row r="937" spans="2:2" x14ac:dyDescent="0.2">
      <c r="B937" s="1"/>
    </row>
    <row r="938" spans="2:2" x14ac:dyDescent="0.2">
      <c r="B938" s="1"/>
    </row>
    <row r="939" spans="2:2" x14ac:dyDescent="0.2">
      <c r="B939" s="1"/>
    </row>
    <row r="940" spans="2:2" x14ac:dyDescent="0.2">
      <c r="B940" s="1"/>
    </row>
    <row r="941" spans="2:2" x14ac:dyDescent="0.2">
      <c r="B941" s="1"/>
    </row>
    <row r="942" spans="2:2" x14ac:dyDescent="0.2">
      <c r="B942" s="1"/>
    </row>
    <row r="943" spans="2:2" x14ac:dyDescent="0.2">
      <c r="B943" s="1"/>
    </row>
    <row r="944" spans="2:2" x14ac:dyDescent="0.2">
      <c r="B944" s="1"/>
    </row>
    <row r="945" spans="2:2" x14ac:dyDescent="0.2">
      <c r="B945" s="1"/>
    </row>
    <row r="946" spans="2:2" x14ac:dyDescent="0.2">
      <c r="B946" s="1"/>
    </row>
    <row r="947" spans="2:2" x14ac:dyDescent="0.2">
      <c r="B947" s="1"/>
    </row>
    <row r="948" spans="2:2" x14ac:dyDescent="0.2">
      <c r="B948" s="1"/>
    </row>
    <row r="949" spans="2:2" x14ac:dyDescent="0.2">
      <c r="B949" s="1"/>
    </row>
    <row r="950" spans="2:2" x14ac:dyDescent="0.2">
      <c r="B950" s="1"/>
    </row>
    <row r="951" spans="2:2" x14ac:dyDescent="0.2">
      <c r="B951" s="1"/>
    </row>
    <row r="952" spans="2:2" x14ac:dyDescent="0.2">
      <c r="B952" s="1"/>
    </row>
    <row r="953" spans="2:2" x14ac:dyDescent="0.2">
      <c r="B953" s="1"/>
    </row>
    <row r="954" spans="2:2" x14ac:dyDescent="0.2">
      <c r="B954" s="1"/>
    </row>
    <row r="955" spans="2:2" x14ac:dyDescent="0.2">
      <c r="B955" s="1"/>
    </row>
    <row r="956" spans="2:2" x14ac:dyDescent="0.2">
      <c r="B956" s="1"/>
    </row>
    <row r="957" spans="2:2" x14ac:dyDescent="0.2">
      <c r="B957" s="1"/>
    </row>
    <row r="958" spans="2:2" x14ac:dyDescent="0.2">
      <c r="B958" s="1"/>
    </row>
    <row r="959" spans="2:2" x14ac:dyDescent="0.2">
      <c r="B959" s="1"/>
    </row>
    <row r="960" spans="2:2" x14ac:dyDescent="0.2">
      <c r="B960" s="1"/>
    </row>
    <row r="961" spans="2:2" x14ac:dyDescent="0.2">
      <c r="B961" s="1"/>
    </row>
    <row r="962" spans="2:2" x14ac:dyDescent="0.2">
      <c r="B962" s="1"/>
    </row>
    <row r="963" spans="2:2" x14ac:dyDescent="0.2">
      <c r="B963" s="1"/>
    </row>
    <row r="964" spans="2:2" x14ac:dyDescent="0.2">
      <c r="B964" s="1"/>
    </row>
    <row r="965" spans="2:2" x14ac:dyDescent="0.2">
      <c r="B965" s="1"/>
    </row>
    <row r="966" spans="2:2" x14ac:dyDescent="0.2">
      <c r="B966" s="1"/>
    </row>
    <row r="967" spans="2:2" x14ac:dyDescent="0.2">
      <c r="B967" s="1"/>
    </row>
    <row r="968" spans="2:2" x14ac:dyDescent="0.2">
      <c r="B968" s="1"/>
    </row>
    <row r="969" spans="2:2" x14ac:dyDescent="0.2">
      <c r="B969" s="1"/>
    </row>
    <row r="970" spans="2:2" x14ac:dyDescent="0.2">
      <c r="B970" s="1"/>
    </row>
    <row r="971" spans="2:2" x14ac:dyDescent="0.2">
      <c r="B971" s="1"/>
    </row>
    <row r="972" spans="2:2" x14ac:dyDescent="0.2">
      <c r="B972" s="1"/>
    </row>
    <row r="973" spans="2:2" x14ac:dyDescent="0.2">
      <c r="B973" s="1"/>
    </row>
    <row r="974" spans="2:2" x14ac:dyDescent="0.2">
      <c r="B974" s="1"/>
    </row>
    <row r="975" spans="2:2" x14ac:dyDescent="0.2">
      <c r="B975" s="1"/>
    </row>
    <row r="976" spans="2:2" x14ac:dyDescent="0.2">
      <c r="B976" s="1"/>
    </row>
    <row r="977" spans="2:2" x14ac:dyDescent="0.2">
      <c r="B977" s="1"/>
    </row>
    <row r="978" spans="2:2" x14ac:dyDescent="0.2">
      <c r="B978" s="1"/>
    </row>
    <row r="979" spans="2:2" x14ac:dyDescent="0.2">
      <c r="B979" s="1"/>
    </row>
    <row r="980" spans="2:2" x14ac:dyDescent="0.2">
      <c r="B980" s="1"/>
    </row>
    <row r="981" spans="2:2" x14ac:dyDescent="0.2">
      <c r="B981" s="1"/>
    </row>
    <row r="982" spans="2:2" x14ac:dyDescent="0.2">
      <c r="B982" s="1"/>
    </row>
    <row r="983" spans="2:2" x14ac:dyDescent="0.2">
      <c r="B983" s="1"/>
    </row>
    <row r="984" spans="2:2" x14ac:dyDescent="0.2">
      <c r="B984" s="1"/>
    </row>
    <row r="985" spans="2:2" x14ac:dyDescent="0.2">
      <c r="B985" s="1"/>
    </row>
    <row r="986" spans="2:2" x14ac:dyDescent="0.2">
      <c r="B986" s="1"/>
    </row>
    <row r="987" spans="2:2" x14ac:dyDescent="0.2">
      <c r="B987" s="1"/>
    </row>
    <row r="988" spans="2:2" x14ac:dyDescent="0.2">
      <c r="B988" s="1"/>
    </row>
    <row r="989" spans="2:2" x14ac:dyDescent="0.2">
      <c r="B989" s="1"/>
    </row>
    <row r="990" spans="2:2" x14ac:dyDescent="0.2">
      <c r="B990" s="1"/>
    </row>
    <row r="991" spans="2:2" x14ac:dyDescent="0.2">
      <c r="B991" s="1"/>
    </row>
  </sheetData>
  <dataValidations count="1">
    <dataValidation type="custom" allowBlank="1" showDropDown="1" sqref="K16:K18 O16:O17 Q16:Q17 M16:M17 E17:I18 E16:F16 H16:I16 S16:S17" xr:uid="{8999262E-A031-4ABE-BE54-048223D8D7CD}">
      <formula1>AND(ISNUMBER(E16),(NOT(OR(NOT(ISERROR(DATEVALUE(E16))), AND(ISNUMBER(E16), LEFT(CELL("format", E16))="D")))))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74184-395F-47D9-85AC-CB0FCE29E86C}">
  <sheetPr>
    <outlinePr summaryBelow="0" summaryRight="0"/>
  </sheetPr>
  <dimension ref="A1:AP991"/>
  <sheetViews>
    <sheetView workbookViewId="0">
      <pane xSplit="1" topLeftCell="C1" activePane="topRight" state="frozen"/>
      <selection pane="topRight" activeCell="I19" sqref="I19"/>
    </sheetView>
  </sheetViews>
  <sheetFormatPr baseColWidth="10" defaultColWidth="12.5703125" defaultRowHeight="12.75" x14ac:dyDescent="0.2"/>
  <cols>
    <col min="1" max="1" width="20.42578125" customWidth="1"/>
    <col min="2" max="2" width="9.42578125" customWidth="1"/>
    <col min="3" max="3" width="2.42578125" customWidth="1"/>
    <col min="4" max="4" width="18" style="5" customWidth="1"/>
    <col min="5" max="8" width="13" style="5" hidden="1" customWidth="1"/>
    <col min="9" max="10" width="13.140625" style="5" bestFit="1" customWidth="1"/>
    <col min="11" max="11" width="12.7109375" bestFit="1" customWidth="1"/>
    <col min="12" max="22" width="13" bestFit="1" customWidth="1"/>
    <col min="23" max="27" width="12.7109375" bestFit="1" customWidth="1"/>
    <col min="28" max="28" width="14" bestFit="1" customWidth="1"/>
    <col min="29" max="33" width="12.7109375" bestFit="1" customWidth="1"/>
    <col min="34" max="34" width="13.85546875" bestFit="1" customWidth="1"/>
    <col min="35" max="36" width="12.7109375" bestFit="1" customWidth="1"/>
    <col min="40" max="40" width="13" bestFit="1" customWidth="1"/>
  </cols>
  <sheetData>
    <row r="1" spans="1:40" x14ac:dyDescent="0.2">
      <c r="B1" s="1"/>
    </row>
    <row r="2" spans="1:40" ht="15" customHeight="1" x14ac:dyDescent="0.2">
      <c r="B2" s="1"/>
      <c r="E2" s="5" t="s">
        <v>0</v>
      </c>
      <c r="F2" s="6" t="s">
        <v>1</v>
      </c>
      <c r="G2" s="6" t="s">
        <v>2</v>
      </c>
      <c r="H2" s="6" t="s">
        <v>3</v>
      </c>
      <c r="I2" s="25" t="s">
        <v>4</v>
      </c>
      <c r="J2" s="25" t="s">
        <v>5</v>
      </c>
      <c r="K2" s="26" t="s">
        <v>6</v>
      </c>
      <c r="L2" s="26" t="s">
        <v>7</v>
      </c>
      <c r="M2" s="26" t="s">
        <v>8</v>
      </c>
      <c r="N2" s="26" t="s">
        <v>9</v>
      </c>
      <c r="O2" s="10" t="s">
        <v>10</v>
      </c>
      <c r="P2" s="10" t="s">
        <v>11</v>
      </c>
      <c r="Q2" s="10" t="s">
        <v>12</v>
      </c>
      <c r="R2" s="10" t="s">
        <v>13</v>
      </c>
      <c r="S2" s="36" t="s">
        <v>69</v>
      </c>
      <c r="T2" s="17">
        <v>46052</v>
      </c>
      <c r="U2" s="17">
        <v>46068</v>
      </c>
      <c r="V2" s="23">
        <v>46081</v>
      </c>
      <c r="W2" s="17">
        <v>46096</v>
      </c>
      <c r="X2" s="17">
        <v>46109</v>
      </c>
      <c r="Y2" s="17">
        <v>46127</v>
      </c>
      <c r="Z2" s="17">
        <v>46140</v>
      </c>
      <c r="AA2" s="17">
        <v>46157</v>
      </c>
      <c r="AB2" s="23">
        <v>46170</v>
      </c>
      <c r="AC2" s="17">
        <v>46188</v>
      </c>
      <c r="AD2" s="17">
        <v>46203</v>
      </c>
      <c r="AE2" s="17">
        <v>46249</v>
      </c>
      <c r="AF2" s="17">
        <v>46264</v>
      </c>
      <c r="AG2" s="17">
        <v>46280</v>
      </c>
      <c r="AH2" s="17">
        <v>46295</v>
      </c>
      <c r="AI2" s="17">
        <v>46310</v>
      </c>
      <c r="AJ2" s="17">
        <v>46325</v>
      </c>
      <c r="AK2" s="17">
        <v>46341</v>
      </c>
      <c r="AL2" s="17">
        <v>46356</v>
      </c>
      <c r="AM2" s="17">
        <v>46371</v>
      </c>
      <c r="AN2" s="17">
        <v>46386</v>
      </c>
    </row>
    <row r="3" spans="1:40" ht="16.5" customHeight="1" x14ac:dyDescent="0.2">
      <c r="B3" s="1"/>
      <c r="D3" s="5" t="s">
        <v>14</v>
      </c>
      <c r="E3" s="5">
        <v>1300000</v>
      </c>
      <c r="F3" s="5">
        <f>875000+875000</f>
        <v>1750000</v>
      </c>
      <c r="G3" s="21">
        <f>875000+1041000+200000</f>
        <v>2116000</v>
      </c>
      <c r="H3" s="5">
        <f>875000+1200000+100000+300000</f>
        <v>2475000</v>
      </c>
      <c r="I3" s="27">
        <f>875000+1500000+500000</f>
        <v>2875000</v>
      </c>
      <c r="J3" s="27">
        <f>875000+1500000+787000+260000+450000+300000</f>
        <v>4172000</v>
      </c>
      <c r="K3" s="27">
        <f>875000+1500000</f>
        <v>2375000</v>
      </c>
      <c r="L3" s="27">
        <f>875000+1500000+525000+450000</f>
        <v>3350000</v>
      </c>
      <c r="M3" s="27">
        <f>875000+1500000</f>
        <v>2375000</v>
      </c>
      <c r="N3" s="27">
        <f>875000+1500000+260000</f>
        <v>2635000</v>
      </c>
      <c r="O3" s="5">
        <f>875000+1500000</f>
        <v>2375000</v>
      </c>
      <c r="P3" s="5">
        <f>875000+1500000</f>
        <v>2375000</v>
      </c>
      <c r="Q3" s="5">
        <f>875000+1500000</f>
        <v>2375000</v>
      </c>
      <c r="R3" s="5">
        <f>875000+1500000+1500000</f>
        <v>3875000</v>
      </c>
      <c r="S3" s="5">
        <f t="shared" ref="S3:AN3" si="0">875000+1500000</f>
        <v>2375000</v>
      </c>
      <c r="T3" s="5">
        <f t="shared" si="0"/>
        <v>2375000</v>
      </c>
      <c r="U3" s="5">
        <f t="shared" si="0"/>
        <v>2375000</v>
      </c>
      <c r="V3" s="5">
        <f t="shared" si="0"/>
        <v>2375000</v>
      </c>
      <c r="W3" s="14">
        <f t="shared" si="0"/>
        <v>2375000</v>
      </c>
      <c r="X3" s="5">
        <f t="shared" si="0"/>
        <v>2375000</v>
      </c>
      <c r="Y3" s="5">
        <f t="shared" si="0"/>
        <v>2375000</v>
      </c>
      <c r="Z3" s="5">
        <f t="shared" si="0"/>
        <v>2375000</v>
      </c>
      <c r="AA3" s="5">
        <f t="shared" si="0"/>
        <v>2375000</v>
      </c>
      <c r="AB3" s="5">
        <f t="shared" si="0"/>
        <v>2375000</v>
      </c>
      <c r="AC3" s="5">
        <f t="shared" si="0"/>
        <v>2375000</v>
      </c>
      <c r="AD3" s="5">
        <f t="shared" si="0"/>
        <v>2375000</v>
      </c>
      <c r="AE3" s="5">
        <f t="shared" si="0"/>
        <v>2375000</v>
      </c>
      <c r="AF3" s="5">
        <f t="shared" si="0"/>
        <v>2375000</v>
      </c>
      <c r="AG3" s="5">
        <f t="shared" si="0"/>
        <v>2375000</v>
      </c>
      <c r="AH3" s="5">
        <f t="shared" si="0"/>
        <v>2375000</v>
      </c>
      <c r="AI3" s="5">
        <f t="shared" si="0"/>
        <v>2375000</v>
      </c>
      <c r="AJ3" s="5">
        <f t="shared" si="0"/>
        <v>2375000</v>
      </c>
      <c r="AK3" s="5">
        <f t="shared" si="0"/>
        <v>2375000</v>
      </c>
      <c r="AL3" s="5">
        <f t="shared" si="0"/>
        <v>2375000</v>
      </c>
      <c r="AM3" s="5">
        <f t="shared" si="0"/>
        <v>2375000</v>
      </c>
      <c r="AN3" s="5">
        <f t="shared" si="0"/>
        <v>2375000</v>
      </c>
    </row>
    <row r="4" spans="1:40" s="5" customFormat="1" ht="15" customHeight="1" x14ac:dyDescent="0.2">
      <c r="A4" s="9" t="s">
        <v>15</v>
      </c>
      <c r="B4" s="9"/>
      <c r="D4" s="5" t="s">
        <v>16</v>
      </c>
      <c r="I4" s="27"/>
      <c r="J4" s="27"/>
      <c r="K4" s="27"/>
      <c r="L4" s="27"/>
      <c r="M4" s="27"/>
      <c r="N4" s="27"/>
      <c r="W4" s="14"/>
    </row>
    <row r="5" spans="1:40" s="5" customFormat="1" ht="15" customHeight="1" x14ac:dyDescent="0.2">
      <c r="A5" s="9" t="s">
        <v>17</v>
      </c>
      <c r="B5" s="9">
        <v>90000</v>
      </c>
      <c r="E5" s="5">
        <v>90000</v>
      </c>
      <c r="F5" s="5">
        <v>90000</v>
      </c>
      <c r="I5" s="27">
        <v>90000</v>
      </c>
      <c r="J5" s="27">
        <v>90000</v>
      </c>
      <c r="K5" s="27"/>
      <c r="L5" s="27">
        <v>90000</v>
      </c>
      <c r="M5" s="27"/>
      <c r="N5" s="27">
        <v>90000</v>
      </c>
      <c r="W5" s="14"/>
    </row>
    <row r="6" spans="1:40" s="5" customFormat="1" ht="15" customHeight="1" x14ac:dyDescent="0.2">
      <c r="A6" s="9" t="s">
        <v>18</v>
      </c>
      <c r="B6" s="9">
        <v>40000</v>
      </c>
      <c r="E6" s="5">
        <v>40000</v>
      </c>
      <c r="G6" s="22">
        <v>40000</v>
      </c>
      <c r="I6" s="27">
        <v>40000</v>
      </c>
      <c r="J6" s="27"/>
      <c r="K6" s="27">
        <v>40000</v>
      </c>
      <c r="L6" s="27"/>
      <c r="M6" s="27">
        <v>40000</v>
      </c>
      <c r="N6" s="27"/>
      <c r="O6" s="5">
        <v>40000</v>
      </c>
      <c r="Q6" s="5">
        <v>40000</v>
      </c>
      <c r="S6" s="5">
        <v>40000</v>
      </c>
      <c r="U6" s="5">
        <v>40000</v>
      </c>
      <c r="W6" s="14">
        <v>40000</v>
      </c>
      <c r="Y6" s="5">
        <v>40000</v>
      </c>
      <c r="AA6" s="5">
        <v>40000</v>
      </c>
      <c r="AC6" s="5">
        <v>40000</v>
      </c>
      <c r="AE6" s="5">
        <v>40000</v>
      </c>
      <c r="AG6" s="5">
        <v>40000</v>
      </c>
      <c r="AI6" s="5">
        <v>40000</v>
      </c>
      <c r="AK6" s="5">
        <v>40000</v>
      </c>
      <c r="AM6" s="5">
        <v>40000</v>
      </c>
    </row>
    <row r="7" spans="1:40" s="5" customFormat="1" ht="15" customHeight="1" x14ac:dyDescent="0.2">
      <c r="A7" s="9" t="s">
        <v>19</v>
      </c>
      <c r="B7" s="9">
        <v>142000</v>
      </c>
      <c r="E7" s="5">
        <v>142000</v>
      </c>
      <c r="G7" s="22">
        <v>142000</v>
      </c>
      <c r="I7" s="27">
        <v>142000</v>
      </c>
      <c r="J7" s="27"/>
      <c r="K7" s="27">
        <v>142000</v>
      </c>
      <c r="L7" s="27"/>
      <c r="M7" s="27">
        <v>142000</v>
      </c>
      <c r="N7" s="27"/>
      <c r="O7" s="5">
        <v>142000</v>
      </c>
      <c r="Q7" s="5">
        <v>142000</v>
      </c>
      <c r="W7" s="14"/>
    </row>
    <row r="8" spans="1:40" s="5" customFormat="1" ht="15" customHeight="1" x14ac:dyDescent="0.2">
      <c r="A8" s="9" t="s">
        <v>20</v>
      </c>
      <c r="B8" s="9">
        <v>45000</v>
      </c>
      <c r="D8" s="5">
        <v>343600</v>
      </c>
      <c r="I8" s="27"/>
      <c r="J8" s="27">
        <v>94600</v>
      </c>
      <c r="K8" s="27">
        <v>97800</v>
      </c>
      <c r="L8" s="27">
        <v>97800</v>
      </c>
      <c r="M8" s="27">
        <v>97800</v>
      </c>
      <c r="N8" s="27">
        <v>97800</v>
      </c>
      <c r="O8" s="5">
        <v>97800</v>
      </c>
      <c r="P8" s="5">
        <v>45000</v>
      </c>
      <c r="R8" s="5">
        <v>45000</v>
      </c>
      <c r="T8" s="5">
        <v>45000</v>
      </c>
      <c r="V8" s="5">
        <v>45000</v>
      </c>
      <c r="W8" s="14"/>
      <c r="X8" s="5">
        <v>45000</v>
      </c>
      <c r="Z8" s="5">
        <v>45000</v>
      </c>
      <c r="AB8" s="5">
        <v>45000</v>
      </c>
      <c r="AD8" s="5">
        <v>45000</v>
      </c>
      <c r="AF8" s="5">
        <v>45000</v>
      </c>
      <c r="AH8" s="5">
        <v>45000</v>
      </c>
      <c r="AJ8" s="5">
        <v>45000</v>
      </c>
      <c r="AL8" s="5">
        <v>45000</v>
      </c>
      <c r="AN8" s="5">
        <v>45000</v>
      </c>
    </row>
    <row r="9" spans="1:40" s="5" customFormat="1" ht="15" customHeight="1" x14ac:dyDescent="0.2">
      <c r="A9" s="9" t="s">
        <v>21</v>
      </c>
      <c r="B9" s="9">
        <v>230000</v>
      </c>
      <c r="D9" s="5">
        <f>1396000+229000</f>
        <v>1625000</v>
      </c>
      <c r="I9" s="27"/>
      <c r="J9" s="27">
        <v>300000</v>
      </c>
      <c r="K9" s="27"/>
      <c r="L9" s="27">
        <v>300000</v>
      </c>
      <c r="M9" s="27"/>
      <c r="N9" s="27"/>
      <c r="O9" s="5">
        <v>300000</v>
      </c>
      <c r="P9" s="5">
        <v>300000</v>
      </c>
      <c r="R9" s="5">
        <v>300000</v>
      </c>
      <c r="W9" s="14"/>
    </row>
    <row r="10" spans="1:40" s="5" customFormat="1" ht="15" customHeight="1" x14ac:dyDescent="0.2">
      <c r="A10" s="9" t="s">
        <v>22</v>
      </c>
      <c r="B10" s="9">
        <v>760000</v>
      </c>
      <c r="H10" s="22">
        <v>760000</v>
      </c>
      <c r="I10" s="27"/>
      <c r="J10" s="27">
        <v>760000</v>
      </c>
      <c r="K10" s="27"/>
      <c r="L10" s="27">
        <v>760000</v>
      </c>
      <c r="M10" s="27"/>
      <c r="N10" s="27">
        <v>760000</v>
      </c>
      <c r="P10" s="5">
        <v>760000</v>
      </c>
      <c r="R10" s="5">
        <v>760000</v>
      </c>
      <c r="T10" s="5">
        <v>760000</v>
      </c>
      <c r="V10" s="5">
        <v>760000</v>
      </c>
      <c r="W10" s="14"/>
      <c r="X10" s="5">
        <v>760000</v>
      </c>
      <c r="Z10" s="5">
        <v>760000</v>
      </c>
      <c r="AB10" s="5">
        <v>760000</v>
      </c>
      <c r="AD10" s="5">
        <v>760000</v>
      </c>
      <c r="AF10" s="5">
        <v>760000</v>
      </c>
      <c r="AH10" s="5">
        <v>760000</v>
      </c>
      <c r="AJ10" s="5">
        <v>760000</v>
      </c>
      <c r="AL10" s="5">
        <v>760000</v>
      </c>
      <c r="AN10" s="5">
        <v>760000</v>
      </c>
    </row>
    <row r="11" spans="1:40" s="5" customFormat="1" ht="15" customHeight="1" x14ac:dyDescent="0.2">
      <c r="A11" s="9" t="s">
        <v>23</v>
      </c>
      <c r="B11" s="9"/>
      <c r="E11" s="5">
        <v>180000</v>
      </c>
      <c r="F11" s="5">
        <v>63000</v>
      </c>
      <c r="G11" s="5">
        <v>15000</v>
      </c>
      <c r="I11" s="27">
        <f>650000+50000</f>
        <v>700000</v>
      </c>
      <c r="J11" s="27">
        <v>20000</v>
      </c>
      <c r="K11" s="27">
        <v>0</v>
      </c>
      <c r="L11" s="27">
        <v>20000</v>
      </c>
      <c r="M11" s="27"/>
      <c r="N11" s="27">
        <v>20000</v>
      </c>
      <c r="P11" s="5">
        <v>20000</v>
      </c>
      <c r="W11" s="14"/>
    </row>
    <row r="12" spans="1:40" s="5" customFormat="1" ht="15" customHeight="1" x14ac:dyDescent="0.2">
      <c r="A12" s="9" t="s">
        <v>24</v>
      </c>
      <c r="B12" s="9"/>
      <c r="G12" s="20" t="s">
        <v>25</v>
      </c>
      <c r="I12" s="27">
        <v>400000</v>
      </c>
      <c r="J12" s="27"/>
      <c r="K12" s="27">
        <v>400000</v>
      </c>
      <c r="L12" s="27"/>
      <c r="M12" s="27">
        <v>400000</v>
      </c>
      <c r="N12" s="27"/>
      <c r="O12" s="5">
        <v>400000</v>
      </c>
      <c r="Q12" s="5">
        <v>400000</v>
      </c>
      <c r="S12" s="5">
        <v>400000</v>
      </c>
      <c r="U12" s="5">
        <v>400000</v>
      </c>
      <c r="W12" s="14">
        <v>400000</v>
      </c>
      <c r="Y12" s="5">
        <v>400000</v>
      </c>
      <c r="AA12" s="5">
        <v>400000</v>
      </c>
      <c r="AC12" s="5">
        <v>400000</v>
      </c>
      <c r="AE12" s="5">
        <v>400000</v>
      </c>
      <c r="AG12" s="5">
        <v>400000</v>
      </c>
      <c r="AI12" s="5">
        <v>400000</v>
      </c>
      <c r="AK12" s="5">
        <v>400000</v>
      </c>
      <c r="AM12" s="5">
        <v>400000</v>
      </c>
    </row>
    <row r="13" spans="1:40" s="5" customFormat="1" ht="15" customHeight="1" x14ac:dyDescent="0.2">
      <c r="A13" s="9" t="s">
        <v>26</v>
      </c>
      <c r="B13" s="9">
        <v>250000</v>
      </c>
      <c r="E13" s="5">
        <v>250000</v>
      </c>
      <c r="F13" s="5">
        <v>250000</v>
      </c>
      <c r="G13" s="22">
        <v>400000</v>
      </c>
      <c r="H13" s="22">
        <v>250000</v>
      </c>
      <c r="I13" s="27">
        <v>400000</v>
      </c>
      <c r="J13" s="27">
        <v>250000</v>
      </c>
      <c r="K13" s="27">
        <v>400000</v>
      </c>
      <c r="L13" s="27">
        <v>250000</v>
      </c>
      <c r="M13" s="27">
        <v>250000</v>
      </c>
      <c r="N13" s="27">
        <v>250000</v>
      </c>
      <c r="P13" s="5">
        <v>250000</v>
      </c>
      <c r="R13" s="5">
        <v>250000</v>
      </c>
      <c r="T13" s="5">
        <v>250000</v>
      </c>
      <c r="V13" s="5">
        <v>250000</v>
      </c>
      <c r="W13" s="14"/>
      <c r="X13" s="5">
        <v>250000</v>
      </c>
      <c r="Z13" s="5">
        <v>250000</v>
      </c>
      <c r="AB13" s="5">
        <v>250000</v>
      </c>
      <c r="AD13" s="5">
        <v>250000</v>
      </c>
      <c r="AF13" s="5">
        <v>250000</v>
      </c>
      <c r="AH13" s="5">
        <v>250000</v>
      </c>
      <c r="AJ13" s="5">
        <v>250000</v>
      </c>
      <c r="AL13" s="5">
        <v>250000</v>
      </c>
      <c r="AN13" s="5">
        <v>250000</v>
      </c>
    </row>
    <row r="14" spans="1:40" s="5" customFormat="1" ht="15" customHeight="1" x14ac:dyDescent="0.2">
      <c r="A14" s="9" t="s">
        <v>27</v>
      </c>
      <c r="B14" s="9">
        <v>30000</v>
      </c>
      <c r="E14" s="5">
        <v>50000</v>
      </c>
      <c r="G14" s="22">
        <v>50000</v>
      </c>
      <c r="I14" s="27">
        <v>50000</v>
      </c>
      <c r="J14" s="27"/>
      <c r="K14" s="27">
        <v>50000</v>
      </c>
      <c r="L14" s="27"/>
      <c r="M14" s="27">
        <v>50000</v>
      </c>
      <c r="N14" s="27"/>
      <c r="O14" s="5">
        <v>50000</v>
      </c>
      <c r="Q14" s="5">
        <v>50000</v>
      </c>
      <c r="S14" s="5">
        <v>50000</v>
      </c>
      <c r="U14" s="5">
        <v>50000</v>
      </c>
      <c r="W14" s="14">
        <v>50000</v>
      </c>
      <c r="Y14" s="5">
        <v>50000</v>
      </c>
      <c r="AA14" s="5">
        <v>50000</v>
      </c>
      <c r="AC14" s="5">
        <v>50000</v>
      </c>
      <c r="AE14" s="5">
        <v>50000</v>
      </c>
      <c r="AG14" s="5">
        <v>50000</v>
      </c>
      <c r="AI14" s="5">
        <v>50000</v>
      </c>
      <c r="AK14" s="5">
        <v>50000</v>
      </c>
      <c r="AM14" s="5">
        <v>50000</v>
      </c>
    </row>
    <row r="15" spans="1:40" s="5" customFormat="1" ht="15" customHeight="1" x14ac:dyDescent="0.2">
      <c r="A15" s="9" t="s">
        <v>28</v>
      </c>
      <c r="B15" s="43"/>
      <c r="E15" s="5">
        <v>125000</v>
      </c>
      <c r="F15" s="5">
        <v>125000</v>
      </c>
      <c r="G15" s="22">
        <v>125000</v>
      </c>
      <c r="H15" s="5">
        <v>125000</v>
      </c>
      <c r="I15" s="27"/>
      <c r="J15" s="27"/>
      <c r="K15" s="27"/>
      <c r="L15" s="27"/>
      <c r="M15" s="27"/>
      <c r="N15" s="27"/>
      <c r="W15" s="14"/>
    </row>
    <row r="16" spans="1:40" s="5" customFormat="1" ht="15" customHeight="1" x14ac:dyDescent="0.2">
      <c r="A16" s="9" t="s">
        <v>29</v>
      </c>
      <c r="B16" s="9"/>
      <c r="H16" s="22">
        <v>275000</v>
      </c>
      <c r="I16" s="27"/>
      <c r="J16" s="27">
        <v>330000</v>
      </c>
      <c r="K16" s="27"/>
      <c r="L16" s="27">
        <v>330000</v>
      </c>
      <c r="M16" s="27"/>
      <c r="N16" s="27">
        <v>330000</v>
      </c>
      <c r="P16" s="5">
        <v>330000</v>
      </c>
      <c r="R16" s="5">
        <v>330000</v>
      </c>
      <c r="T16" s="5">
        <v>330000</v>
      </c>
      <c r="W16" s="14"/>
    </row>
    <row r="17" spans="1:42" s="5" customFormat="1" ht="15" customHeight="1" x14ac:dyDescent="0.2">
      <c r="A17" s="9" t="s">
        <v>30</v>
      </c>
      <c r="B17" s="43"/>
      <c r="E17" s="5">
        <f>40000</f>
        <v>40000</v>
      </c>
      <c r="F17" s="5">
        <f>100000+400000+40000+314000+54000</f>
        <v>908000</v>
      </c>
      <c r="G17" s="5">
        <f>103000+314000+40000+160000</f>
        <v>617000</v>
      </c>
      <c r="H17" s="22">
        <f>180000+100000+40000</f>
        <v>320000</v>
      </c>
      <c r="I17" s="27">
        <f>130000+40000+315000+140000+300000</f>
        <v>925000</v>
      </c>
      <c r="J17" s="27">
        <f>380000+100000+580000+140000+315000+240000</f>
        <v>1755000</v>
      </c>
      <c r="K17" s="27">
        <f>130000+140000+250000</f>
        <v>520000</v>
      </c>
      <c r="L17" s="27">
        <f>360000+100000+140000+580000+250000</f>
        <v>1430000</v>
      </c>
      <c r="M17" s="27">
        <v>580000</v>
      </c>
      <c r="N17" s="27">
        <f>340000+100000</f>
        <v>440000</v>
      </c>
      <c r="P17" s="5">
        <f>120000</f>
        <v>120000</v>
      </c>
      <c r="W17" s="14"/>
    </row>
    <row r="18" spans="1:42" s="5" customFormat="1" ht="15" customHeight="1" x14ac:dyDescent="0.2">
      <c r="A18" s="9" t="s">
        <v>31</v>
      </c>
      <c r="B18" s="43"/>
      <c r="G18" s="22">
        <v>250000</v>
      </c>
      <c r="H18" s="22">
        <v>470000</v>
      </c>
      <c r="I18" s="27"/>
      <c r="J18" s="27">
        <v>500000</v>
      </c>
      <c r="K18" s="27">
        <v>500000</v>
      </c>
      <c r="L18" s="27"/>
      <c r="M18" s="27"/>
      <c r="N18" s="27">
        <v>500000</v>
      </c>
      <c r="W18" s="14"/>
    </row>
    <row r="19" spans="1:42" ht="13.5" customHeight="1" x14ac:dyDescent="0.2">
      <c r="B19" s="3">
        <f>SUM(B5:B16)</f>
        <v>1587000</v>
      </c>
      <c r="D19" s="6">
        <v>1882600</v>
      </c>
      <c r="E19" s="7">
        <v>361000</v>
      </c>
      <c r="F19" s="6">
        <f>+F3-SUM(F4:F17)</f>
        <v>314000</v>
      </c>
      <c r="G19" s="12">
        <f t="shared" ref="G19:AN19" si="1">+G3-SUM(G4:G18)</f>
        <v>477000</v>
      </c>
      <c r="H19" s="12">
        <f t="shared" si="1"/>
        <v>275000</v>
      </c>
      <c r="I19" s="25">
        <f t="shared" ref="I19:Q19" si="2">+I3-SUM(I4:I18)</f>
        <v>128000</v>
      </c>
      <c r="J19" s="25">
        <f t="shared" si="2"/>
        <v>72400</v>
      </c>
      <c r="K19" s="25">
        <f t="shared" si="2"/>
        <v>225200</v>
      </c>
      <c r="L19" s="25">
        <f t="shared" si="2"/>
        <v>72200</v>
      </c>
      <c r="M19" s="25">
        <f t="shared" si="2"/>
        <v>815200</v>
      </c>
      <c r="N19" s="25">
        <f t="shared" si="2"/>
        <v>147200</v>
      </c>
      <c r="O19" s="12">
        <f t="shared" si="2"/>
        <v>1345200</v>
      </c>
      <c r="P19" s="12">
        <f t="shared" si="2"/>
        <v>550000</v>
      </c>
      <c r="Q19" s="12">
        <f t="shared" si="2"/>
        <v>1743000</v>
      </c>
      <c r="R19" s="12">
        <f t="shared" si="1"/>
        <v>2190000</v>
      </c>
      <c r="S19" s="12">
        <f>+S3-SUM(S4:S18)</f>
        <v>1885000</v>
      </c>
      <c r="T19" s="12">
        <f>+T3-SUM(T4:T18)</f>
        <v>990000</v>
      </c>
      <c r="U19" s="12">
        <f t="shared" si="1"/>
        <v>1885000</v>
      </c>
      <c r="V19" s="12">
        <f t="shared" si="1"/>
        <v>1320000</v>
      </c>
      <c r="W19" s="12">
        <f t="shared" si="1"/>
        <v>1885000</v>
      </c>
      <c r="X19" s="12">
        <f t="shared" si="1"/>
        <v>1320000</v>
      </c>
      <c r="Y19" s="12">
        <f>+Y3-SUM(Y4:Y18)</f>
        <v>1885000</v>
      </c>
      <c r="Z19" s="12">
        <f t="shared" si="1"/>
        <v>1320000</v>
      </c>
      <c r="AA19" s="12">
        <f t="shared" si="1"/>
        <v>1885000</v>
      </c>
      <c r="AB19" s="12">
        <f t="shared" si="1"/>
        <v>1320000</v>
      </c>
      <c r="AC19" s="12">
        <f t="shared" si="1"/>
        <v>1885000</v>
      </c>
      <c r="AD19" s="12">
        <f t="shared" si="1"/>
        <v>1320000</v>
      </c>
      <c r="AE19" s="12">
        <f t="shared" si="1"/>
        <v>1885000</v>
      </c>
      <c r="AF19" s="12">
        <f t="shared" si="1"/>
        <v>1320000</v>
      </c>
      <c r="AG19" s="12">
        <f t="shared" si="1"/>
        <v>1885000</v>
      </c>
      <c r="AH19" s="12">
        <f t="shared" si="1"/>
        <v>1320000</v>
      </c>
      <c r="AI19" s="12">
        <f t="shared" si="1"/>
        <v>1885000</v>
      </c>
      <c r="AJ19" s="12">
        <f t="shared" si="1"/>
        <v>1320000</v>
      </c>
      <c r="AK19" s="12">
        <f t="shared" si="1"/>
        <v>1885000</v>
      </c>
      <c r="AL19" s="12">
        <f t="shared" si="1"/>
        <v>1320000</v>
      </c>
      <c r="AM19" s="12">
        <f t="shared" si="1"/>
        <v>1885000</v>
      </c>
      <c r="AN19" s="12">
        <f t="shared" si="1"/>
        <v>1320000</v>
      </c>
    </row>
    <row r="20" spans="1:42" x14ac:dyDescent="0.2">
      <c r="B20" s="1"/>
      <c r="J20" s="28"/>
      <c r="N20" s="24" t="s">
        <v>51</v>
      </c>
      <c r="O20" s="5"/>
      <c r="P20" s="5"/>
    </row>
    <row r="21" spans="1:42" x14ac:dyDescent="0.2">
      <c r="A21" s="2"/>
      <c r="B21" s="1"/>
      <c r="P21" s="5">
        <f>+P19+O19</f>
        <v>1895200</v>
      </c>
      <c r="Q21" s="5">
        <f>+Q19+P23</f>
        <v>2538200</v>
      </c>
      <c r="R21" s="5">
        <f>+R19+Q21</f>
        <v>4728200</v>
      </c>
      <c r="S21" s="5">
        <f>+S19+R23</f>
        <v>5293200</v>
      </c>
      <c r="T21" s="5">
        <f>+T19+S23</f>
        <v>4863200</v>
      </c>
      <c r="U21" s="5">
        <f>+U19+T23</f>
        <v>3948200</v>
      </c>
      <c r="V21" s="5">
        <f>+V19+U21</f>
        <v>5268200</v>
      </c>
      <c r="W21" s="5">
        <f>+W19+V23</f>
        <v>5553200</v>
      </c>
      <c r="X21" s="5">
        <f t="shared" ref="X21:AP21" si="3">+X19+W21</f>
        <v>6873200</v>
      </c>
      <c r="Y21" s="5">
        <f t="shared" si="3"/>
        <v>8758200</v>
      </c>
      <c r="Z21" s="5">
        <f t="shared" si="3"/>
        <v>10078200</v>
      </c>
      <c r="AA21" s="5">
        <f t="shared" si="3"/>
        <v>11963200</v>
      </c>
      <c r="AB21" s="5">
        <f t="shared" si="3"/>
        <v>13283200</v>
      </c>
      <c r="AC21" s="5">
        <f t="shared" si="3"/>
        <v>15168200</v>
      </c>
      <c r="AD21" s="5">
        <f t="shared" si="3"/>
        <v>16488200</v>
      </c>
      <c r="AE21" s="5">
        <f t="shared" si="3"/>
        <v>18373200</v>
      </c>
      <c r="AF21" s="5">
        <f t="shared" si="3"/>
        <v>19693200</v>
      </c>
      <c r="AG21" s="5">
        <f t="shared" si="3"/>
        <v>21578200</v>
      </c>
      <c r="AH21" s="5">
        <f t="shared" si="3"/>
        <v>22898200</v>
      </c>
      <c r="AI21" s="5">
        <f t="shared" si="3"/>
        <v>24783200</v>
      </c>
      <c r="AJ21" s="5">
        <f t="shared" si="3"/>
        <v>26103200</v>
      </c>
      <c r="AK21" s="5">
        <f t="shared" si="3"/>
        <v>27988200</v>
      </c>
      <c r="AL21" s="5">
        <f t="shared" si="3"/>
        <v>29308200</v>
      </c>
      <c r="AM21" s="5">
        <f t="shared" si="3"/>
        <v>31193200</v>
      </c>
      <c r="AN21" s="5">
        <f t="shared" si="3"/>
        <v>32513200</v>
      </c>
      <c r="AO21" s="5">
        <f t="shared" si="3"/>
        <v>32513200</v>
      </c>
      <c r="AP21" s="5">
        <f t="shared" si="3"/>
        <v>32513200</v>
      </c>
    </row>
    <row r="22" spans="1:42" x14ac:dyDescent="0.2">
      <c r="A22" s="2"/>
      <c r="B22" s="1"/>
      <c r="D22" s="20" t="s">
        <v>75</v>
      </c>
      <c r="E22" s="24"/>
      <c r="F22" s="24"/>
      <c r="G22" s="24"/>
      <c r="H22" s="24"/>
      <c r="I22" s="24">
        <v>500000</v>
      </c>
      <c r="K22" t="s">
        <v>76</v>
      </c>
      <c r="L22" s="13">
        <f>+K19+L19+M19</f>
        <v>1112600</v>
      </c>
      <c r="M22" s="13"/>
      <c r="N22" s="13"/>
      <c r="O22" s="13"/>
      <c r="P22" s="5">
        <v>-1100000</v>
      </c>
      <c r="Q22" s="21"/>
      <c r="R22" s="5">
        <v>-1320000</v>
      </c>
      <c r="S22" s="5">
        <v>-1420000</v>
      </c>
      <c r="T22" s="5">
        <v>-2800000</v>
      </c>
      <c r="U22" s="5"/>
      <c r="V22" s="5">
        <v>-1600000</v>
      </c>
      <c r="W22" s="5">
        <v>-4000000</v>
      </c>
      <c r="X22" s="5"/>
      <c r="AD22" s="5">
        <v>-10000000</v>
      </c>
      <c r="AJ22" s="5">
        <v>-10000000</v>
      </c>
      <c r="AP22" s="5">
        <v>-5000000</v>
      </c>
    </row>
    <row r="23" spans="1:42" x14ac:dyDescent="0.2">
      <c r="B23" s="19"/>
      <c r="D23" s="21"/>
      <c r="I23" s="28"/>
      <c r="P23" s="5">
        <f>+P21+P22</f>
        <v>795200</v>
      </c>
      <c r="Q23" s="5"/>
      <c r="R23" s="5">
        <f>+R21+R22</f>
        <v>3408200</v>
      </c>
      <c r="S23" s="5">
        <f>+S21+S22</f>
        <v>3873200</v>
      </c>
      <c r="T23" s="5">
        <f>+T21+T22</f>
        <v>2063200</v>
      </c>
      <c r="U23" s="13"/>
      <c r="V23" s="13">
        <f>+V21+V22</f>
        <v>3668200</v>
      </c>
      <c r="W23" s="13">
        <f>+W21+W22</f>
        <v>1553200</v>
      </c>
      <c r="X23" s="13"/>
      <c r="AD23" s="5">
        <f>+AD21+AD22</f>
        <v>6488200</v>
      </c>
      <c r="AJ23" s="13">
        <f>+AJ21+AJ22</f>
        <v>16103200</v>
      </c>
      <c r="AP23" s="13">
        <f>+AP21+AP22</f>
        <v>27513200</v>
      </c>
    </row>
    <row r="24" spans="1:42" x14ac:dyDescent="0.2">
      <c r="A24" s="18"/>
      <c r="B24" s="19"/>
      <c r="D24" s="21"/>
      <c r="Q24" s="5"/>
      <c r="R24" s="5"/>
    </row>
    <row r="25" spans="1:42" x14ac:dyDescent="0.2">
      <c r="A25" s="18"/>
      <c r="B25" s="1"/>
      <c r="D25" s="21"/>
      <c r="Q25" s="5"/>
      <c r="R25" s="5"/>
    </row>
    <row r="26" spans="1:42" x14ac:dyDescent="0.2">
      <c r="B26" s="19"/>
      <c r="H26" s="6"/>
      <c r="I26" s="6"/>
    </row>
    <row r="34" spans="2:2" x14ac:dyDescent="0.2">
      <c r="B34" s="1"/>
    </row>
    <row r="35" spans="2:2" x14ac:dyDescent="0.2">
      <c r="B35" s="1"/>
    </row>
    <row r="36" spans="2:2" x14ac:dyDescent="0.2">
      <c r="B36" s="1"/>
    </row>
    <row r="37" spans="2:2" x14ac:dyDescent="0.2">
      <c r="B37" s="1"/>
    </row>
    <row r="38" spans="2:2" x14ac:dyDescent="0.2">
      <c r="B38" s="1"/>
    </row>
    <row r="39" spans="2:2" x14ac:dyDescent="0.2">
      <c r="B39" s="1"/>
    </row>
    <row r="40" spans="2:2" x14ac:dyDescent="0.2">
      <c r="B40" s="1"/>
    </row>
    <row r="41" spans="2:2" x14ac:dyDescent="0.2">
      <c r="B41" s="1"/>
    </row>
    <row r="42" spans="2:2" x14ac:dyDescent="0.2">
      <c r="B42" s="1"/>
    </row>
    <row r="43" spans="2:2" x14ac:dyDescent="0.2">
      <c r="B43" s="1"/>
    </row>
    <row r="44" spans="2:2" x14ac:dyDescent="0.2">
      <c r="B44" s="1"/>
    </row>
    <row r="45" spans="2:2" x14ac:dyDescent="0.2">
      <c r="B45" s="1"/>
    </row>
    <row r="46" spans="2:2" x14ac:dyDescent="0.2">
      <c r="B46" s="1"/>
    </row>
    <row r="47" spans="2:2" x14ac:dyDescent="0.2">
      <c r="B47" s="1"/>
    </row>
    <row r="48" spans="2:2" x14ac:dyDescent="0.2">
      <c r="B48" s="1"/>
    </row>
    <row r="49" spans="2:2" x14ac:dyDescent="0.2">
      <c r="B49" s="1"/>
    </row>
    <row r="50" spans="2:2" x14ac:dyDescent="0.2">
      <c r="B50" s="1"/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  <row r="58" spans="2:2" x14ac:dyDescent="0.2">
      <c r="B58" s="1"/>
    </row>
    <row r="59" spans="2:2" x14ac:dyDescent="0.2">
      <c r="B59" s="1"/>
    </row>
    <row r="60" spans="2:2" x14ac:dyDescent="0.2">
      <c r="B60" s="1"/>
    </row>
    <row r="61" spans="2:2" x14ac:dyDescent="0.2">
      <c r="B61" s="1"/>
    </row>
    <row r="62" spans="2:2" x14ac:dyDescent="0.2">
      <c r="B62" s="1"/>
    </row>
    <row r="63" spans="2:2" x14ac:dyDescent="0.2">
      <c r="B63" s="1"/>
    </row>
    <row r="64" spans="2:2" x14ac:dyDescent="0.2">
      <c r="B64" s="1"/>
    </row>
    <row r="65" spans="2:2" x14ac:dyDescent="0.2">
      <c r="B65" s="1"/>
    </row>
    <row r="66" spans="2:2" x14ac:dyDescent="0.2">
      <c r="B66" s="1"/>
    </row>
    <row r="67" spans="2:2" x14ac:dyDescent="0.2">
      <c r="B67" s="1"/>
    </row>
    <row r="68" spans="2:2" x14ac:dyDescent="0.2">
      <c r="B68" s="1"/>
    </row>
    <row r="69" spans="2:2" x14ac:dyDescent="0.2">
      <c r="B69" s="1"/>
    </row>
    <row r="70" spans="2:2" x14ac:dyDescent="0.2">
      <c r="B70" s="1"/>
    </row>
    <row r="71" spans="2:2" x14ac:dyDescent="0.2">
      <c r="B71" s="1"/>
    </row>
    <row r="72" spans="2:2" x14ac:dyDescent="0.2">
      <c r="B72" s="1"/>
    </row>
    <row r="73" spans="2:2" x14ac:dyDescent="0.2">
      <c r="B73" s="1"/>
    </row>
    <row r="74" spans="2:2" x14ac:dyDescent="0.2">
      <c r="B74" s="1"/>
    </row>
    <row r="75" spans="2:2" x14ac:dyDescent="0.2">
      <c r="B75" s="1"/>
    </row>
    <row r="76" spans="2:2" x14ac:dyDescent="0.2">
      <c r="B76" s="1"/>
    </row>
    <row r="77" spans="2:2" x14ac:dyDescent="0.2">
      <c r="B77" s="1"/>
    </row>
    <row r="78" spans="2:2" x14ac:dyDescent="0.2">
      <c r="B78" s="1"/>
    </row>
    <row r="79" spans="2:2" x14ac:dyDescent="0.2">
      <c r="B79" s="1"/>
    </row>
    <row r="80" spans="2:2" x14ac:dyDescent="0.2">
      <c r="B80" s="1"/>
    </row>
    <row r="81" spans="2:2" x14ac:dyDescent="0.2">
      <c r="B81" s="1"/>
    </row>
    <row r="82" spans="2:2" x14ac:dyDescent="0.2">
      <c r="B82" s="1"/>
    </row>
    <row r="83" spans="2:2" x14ac:dyDescent="0.2">
      <c r="B83" s="1"/>
    </row>
    <row r="84" spans="2:2" x14ac:dyDescent="0.2">
      <c r="B84" s="1"/>
    </row>
    <row r="85" spans="2:2" x14ac:dyDescent="0.2">
      <c r="B85" s="1"/>
    </row>
    <row r="86" spans="2:2" x14ac:dyDescent="0.2">
      <c r="B86" s="1"/>
    </row>
    <row r="87" spans="2:2" x14ac:dyDescent="0.2">
      <c r="B87" s="1"/>
    </row>
    <row r="88" spans="2:2" x14ac:dyDescent="0.2">
      <c r="B88" s="1"/>
    </row>
    <row r="89" spans="2:2" x14ac:dyDescent="0.2">
      <c r="B89" s="1"/>
    </row>
    <row r="90" spans="2:2" x14ac:dyDescent="0.2">
      <c r="B90" s="1"/>
    </row>
    <row r="91" spans="2:2" x14ac:dyDescent="0.2">
      <c r="B91" s="1"/>
    </row>
    <row r="92" spans="2:2" x14ac:dyDescent="0.2">
      <c r="B92" s="1"/>
    </row>
    <row r="93" spans="2:2" x14ac:dyDescent="0.2">
      <c r="B93" s="1"/>
    </row>
    <row r="94" spans="2:2" x14ac:dyDescent="0.2">
      <c r="B94" s="1"/>
    </row>
    <row r="95" spans="2:2" x14ac:dyDescent="0.2">
      <c r="B95" s="1"/>
    </row>
    <row r="96" spans="2:2" x14ac:dyDescent="0.2">
      <c r="B96" s="1"/>
    </row>
    <row r="97" spans="2:2" x14ac:dyDescent="0.2">
      <c r="B97" s="1"/>
    </row>
    <row r="98" spans="2:2" x14ac:dyDescent="0.2">
      <c r="B98" s="1"/>
    </row>
    <row r="99" spans="2:2" x14ac:dyDescent="0.2">
      <c r="B99" s="1"/>
    </row>
    <row r="100" spans="2:2" x14ac:dyDescent="0.2">
      <c r="B100" s="1"/>
    </row>
    <row r="101" spans="2:2" x14ac:dyDescent="0.2">
      <c r="B101" s="1"/>
    </row>
    <row r="102" spans="2:2" x14ac:dyDescent="0.2">
      <c r="B102" s="1"/>
    </row>
    <row r="103" spans="2:2" x14ac:dyDescent="0.2">
      <c r="B103" s="1"/>
    </row>
    <row r="104" spans="2:2" x14ac:dyDescent="0.2">
      <c r="B104" s="1"/>
    </row>
    <row r="105" spans="2:2" x14ac:dyDescent="0.2">
      <c r="B105" s="1"/>
    </row>
    <row r="106" spans="2:2" x14ac:dyDescent="0.2">
      <c r="B106" s="1"/>
    </row>
    <row r="107" spans="2:2" x14ac:dyDescent="0.2">
      <c r="B107" s="1"/>
    </row>
    <row r="108" spans="2:2" x14ac:dyDescent="0.2">
      <c r="B108" s="1"/>
    </row>
    <row r="109" spans="2:2" x14ac:dyDescent="0.2">
      <c r="B109" s="1"/>
    </row>
    <row r="110" spans="2:2" x14ac:dyDescent="0.2">
      <c r="B110" s="1"/>
    </row>
    <row r="111" spans="2:2" x14ac:dyDescent="0.2">
      <c r="B111" s="1"/>
    </row>
    <row r="112" spans="2:2" x14ac:dyDescent="0.2">
      <c r="B112" s="1"/>
    </row>
    <row r="113" spans="2:2" x14ac:dyDescent="0.2">
      <c r="B113" s="1"/>
    </row>
    <row r="114" spans="2:2" x14ac:dyDescent="0.2">
      <c r="B114" s="1"/>
    </row>
    <row r="115" spans="2:2" x14ac:dyDescent="0.2">
      <c r="B115" s="1"/>
    </row>
    <row r="116" spans="2:2" x14ac:dyDescent="0.2">
      <c r="B116" s="1"/>
    </row>
    <row r="117" spans="2:2" x14ac:dyDescent="0.2">
      <c r="B117" s="1"/>
    </row>
    <row r="118" spans="2:2" x14ac:dyDescent="0.2">
      <c r="B118" s="1"/>
    </row>
    <row r="119" spans="2:2" x14ac:dyDescent="0.2">
      <c r="B119" s="1"/>
    </row>
    <row r="120" spans="2:2" x14ac:dyDescent="0.2">
      <c r="B120" s="1"/>
    </row>
    <row r="121" spans="2:2" x14ac:dyDescent="0.2">
      <c r="B121" s="1"/>
    </row>
    <row r="122" spans="2:2" x14ac:dyDescent="0.2">
      <c r="B122" s="1"/>
    </row>
    <row r="123" spans="2:2" x14ac:dyDescent="0.2">
      <c r="B123" s="1"/>
    </row>
    <row r="124" spans="2:2" x14ac:dyDescent="0.2">
      <c r="B124" s="1"/>
    </row>
    <row r="125" spans="2:2" x14ac:dyDescent="0.2">
      <c r="B125" s="1"/>
    </row>
    <row r="126" spans="2:2" x14ac:dyDescent="0.2">
      <c r="B126" s="1"/>
    </row>
    <row r="127" spans="2:2" x14ac:dyDescent="0.2">
      <c r="B127" s="1"/>
    </row>
    <row r="128" spans="2:2" x14ac:dyDescent="0.2">
      <c r="B128" s="1"/>
    </row>
    <row r="129" spans="2:2" x14ac:dyDescent="0.2">
      <c r="B129" s="1"/>
    </row>
    <row r="130" spans="2:2" x14ac:dyDescent="0.2">
      <c r="B130" s="1"/>
    </row>
    <row r="131" spans="2:2" x14ac:dyDescent="0.2">
      <c r="B131" s="1"/>
    </row>
    <row r="132" spans="2:2" x14ac:dyDescent="0.2">
      <c r="B132" s="1"/>
    </row>
    <row r="133" spans="2:2" x14ac:dyDescent="0.2">
      <c r="B133" s="1"/>
    </row>
    <row r="134" spans="2:2" x14ac:dyDescent="0.2">
      <c r="B134" s="1"/>
    </row>
    <row r="135" spans="2:2" x14ac:dyDescent="0.2">
      <c r="B135" s="1"/>
    </row>
    <row r="136" spans="2:2" x14ac:dyDescent="0.2">
      <c r="B136" s="1"/>
    </row>
    <row r="137" spans="2:2" x14ac:dyDescent="0.2">
      <c r="B137" s="1"/>
    </row>
    <row r="138" spans="2:2" x14ac:dyDescent="0.2">
      <c r="B138" s="1"/>
    </row>
    <row r="139" spans="2:2" x14ac:dyDescent="0.2">
      <c r="B139" s="1"/>
    </row>
    <row r="140" spans="2:2" x14ac:dyDescent="0.2">
      <c r="B140" s="1"/>
    </row>
    <row r="141" spans="2:2" x14ac:dyDescent="0.2">
      <c r="B141" s="1"/>
    </row>
    <row r="142" spans="2:2" x14ac:dyDescent="0.2">
      <c r="B142" s="1"/>
    </row>
    <row r="143" spans="2:2" x14ac:dyDescent="0.2">
      <c r="B143" s="1"/>
    </row>
    <row r="144" spans="2:2" x14ac:dyDescent="0.2">
      <c r="B144" s="1"/>
    </row>
    <row r="145" spans="2:2" x14ac:dyDescent="0.2">
      <c r="B145" s="1"/>
    </row>
    <row r="146" spans="2:2" x14ac:dyDescent="0.2">
      <c r="B146" s="1"/>
    </row>
    <row r="147" spans="2:2" x14ac:dyDescent="0.2">
      <c r="B147" s="1"/>
    </row>
    <row r="148" spans="2:2" x14ac:dyDescent="0.2">
      <c r="B148" s="1"/>
    </row>
    <row r="149" spans="2:2" x14ac:dyDescent="0.2">
      <c r="B149" s="1"/>
    </row>
    <row r="150" spans="2:2" x14ac:dyDescent="0.2">
      <c r="B150" s="1"/>
    </row>
    <row r="151" spans="2:2" x14ac:dyDescent="0.2">
      <c r="B151" s="1"/>
    </row>
    <row r="152" spans="2:2" x14ac:dyDescent="0.2">
      <c r="B152" s="1"/>
    </row>
    <row r="153" spans="2:2" x14ac:dyDescent="0.2">
      <c r="B153" s="1"/>
    </row>
    <row r="154" spans="2:2" x14ac:dyDescent="0.2">
      <c r="B154" s="1"/>
    </row>
    <row r="155" spans="2:2" x14ac:dyDescent="0.2">
      <c r="B155" s="1"/>
    </row>
    <row r="156" spans="2:2" x14ac:dyDescent="0.2">
      <c r="B156" s="1"/>
    </row>
    <row r="157" spans="2:2" x14ac:dyDescent="0.2">
      <c r="B157" s="1"/>
    </row>
    <row r="158" spans="2:2" x14ac:dyDescent="0.2">
      <c r="B158" s="1"/>
    </row>
    <row r="159" spans="2:2" x14ac:dyDescent="0.2">
      <c r="B159" s="1"/>
    </row>
    <row r="160" spans="2:2" x14ac:dyDescent="0.2">
      <c r="B160" s="1"/>
    </row>
    <row r="161" spans="2:2" x14ac:dyDescent="0.2">
      <c r="B161" s="1"/>
    </row>
    <row r="162" spans="2:2" x14ac:dyDescent="0.2">
      <c r="B162" s="1"/>
    </row>
    <row r="163" spans="2:2" x14ac:dyDescent="0.2">
      <c r="B163" s="1"/>
    </row>
    <row r="164" spans="2:2" x14ac:dyDescent="0.2">
      <c r="B164" s="1"/>
    </row>
    <row r="165" spans="2:2" x14ac:dyDescent="0.2">
      <c r="B165" s="1"/>
    </row>
    <row r="166" spans="2:2" x14ac:dyDescent="0.2">
      <c r="B166" s="1"/>
    </row>
    <row r="167" spans="2:2" x14ac:dyDescent="0.2">
      <c r="B167" s="1"/>
    </row>
    <row r="168" spans="2:2" x14ac:dyDescent="0.2">
      <c r="B168" s="1"/>
    </row>
    <row r="169" spans="2:2" x14ac:dyDescent="0.2">
      <c r="B169" s="1"/>
    </row>
    <row r="170" spans="2:2" x14ac:dyDescent="0.2">
      <c r="B170" s="1"/>
    </row>
    <row r="171" spans="2:2" x14ac:dyDescent="0.2">
      <c r="B171" s="1"/>
    </row>
    <row r="172" spans="2:2" x14ac:dyDescent="0.2">
      <c r="B172" s="1"/>
    </row>
    <row r="173" spans="2:2" x14ac:dyDescent="0.2">
      <c r="B173" s="1"/>
    </row>
    <row r="174" spans="2:2" x14ac:dyDescent="0.2">
      <c r="B174" s="1"/>
    </row>
    <row r="175" spans="2:2" x14ac:dyDescent="0.2">
      <c r="B175" s="1"/>
    </row>
    <row r="176" spans="2:2" x14ac:dyDescent="0.2">
      <c r="B176" s="1"/>
    </row>
    <row r="177" spans="2:2" x14ac:dyDescent="0.2">
      <c r="B177" s="1"/>
    </row>
    <row r="178" spans="2:2" x14ac:dyDescent="0.2">
      <c r="B178" s="1"/>
    </row>
    <row r="179" spans="2:2" x14ac:dyDescent="0.2">
      <c r="B179" s="1"/>
    </row>
    <row r="180" spans="2:2" x14ac:dyDescent="0.2">
      <c r="B180" s="1"/>
    </row>
    <row r="181" spans="2:2" x14ac:dyDescent="0.2">
      <c r="B181" s="1"/>
    </row>
    <row r="182" spans="2:2" x14ac:dyDescent="0.2">
      <c r="B182" s="1"/>
    </row>
    <row r="183" spans="2:2" x14ac:dyDescent="0.2">
      <c r="B183" s="1"/>
    </row>
    <row r="184" spans="2:2" x14ac:dyDescent="0.2">
      <c r="B184" s="1"/>
    </row>
    <row r="185" spans="2:2" x14ac:dyDescent="0.2">
      <c r="B185" s="1"/>
    </row>
    <row r="186" spans="2:2" x14ac:dyDescent="0.2">
      <c r="B186" s="1"/>
    </row>
    <row r="187" spans="2:2" x14ac:dyDescent="0.2">
      <c r="B187" s="1"/>
    </row>
    <row r="188" spans="2:2" x14ac:dyDescent="0.2">
      <c r="B188" s="1"/>
    </row>
    <row r="189" spans="2:2" x14ac:dyDescent="0.2">
      <c r="B189" s="1"/>
    </row>
    <row r="190" spans="2:2" x14ac:dyDescent="0.2">
      <c r="B190" s="1"/>
    </row>
    <row r="191" spans="2:2" x14ac:dyDescent="0.2">
      <c r="B191" s="1"/>
    </row>
    <row r="192" spans="2:2" x14ac:dyDescent="0.2">
      <c r="B192" s="1"/>
    </row>
    <row r="193" spans="2:2" x14ac:dyDescent="0.2">
      <c r="B193" s="1"/>
    </row>
    <row r="194" spans="2:2" x14ac:dyDescent="0.2">
      <c r="B194" s="1"/>
    </row>
    <row r="195" spans="2:2" x14ac:dyDescent="0.2">
      <c r="B195" s="1"/>
    </row>
    <row r="196" spans="2:2" x14ac:dyDescent="0.2">
      <c r="B196" s="1"/>
    </row>
    <row r="197" spans="2:2" x14ac:dyDescent="0.2">
      <c r="B197" s="1"/>
    </row>
    <row r="198" spans="2:2" x14ac:dyDescent="0.2">
      <c r="B198" s="1"/>
    </row>
    <row r="199" spans="2:2" x14ac:dyDescent="0.2">
      <c r="B199" s="1"/>
    </row>
    <row r="200" spans="2:2" x14ac:dyDescent="0.2">
      <c r="B200" s="1"/>
    </row>
    <row r="201" spans="2:2" x14ac:dyDescent="0.2">
      <c r="B201" s="1"/>
    </row>
    <row r="202" spans="2:2" x14ac:dyDescent="0.2">
      <c r="B202" s="1"/>
    </row>
    <row r="203" spans="2:2" x14ac:dyDescent="0.2">
      <c r="B203" s="1"/>
    </row>
    <row r="204" spans="2:2" x14ac:dyDescent="0.2">
      <c r="B204" s="1"/>
    </row>
    <row r="205" spans="2:2" x14ac:dyDescent="0.2">
      <c r="B205" s="1"/>
    </row>
    <row r="206" spans="2:2" x14ac:dyDescent="0.2">
      <c r="B206" s="1"/>
    </row>
    <row r="207" spans="2:2" x14ac:dyDescent="0.2">
      <c r="B207" s="1"/>
    </row>
    <row r="208" spans="2:2" x14ac:dyDescent="0.2">
      <c r="B208" s="1"/>
    </row>
    <row r="209" spans="2:2" x14ac:dyDescent="0.2">
      <c r="B209" s="1"/>
    </row>
    <row r="210" spans="2:2" x14ac:dyDescent="0.2">
      <c r="B210" s="1"/>
    </row>
    <row r="211" spans="2:2" x14ac:dyDescent="0.2">
      <c r="B211" s="1"/>
    </row>
    <row r="212" spans="2:2" x14ac:dyDescent="0.2">
      <c r="B212" s="1"/>
    </row>
    <row r="213" spans="2:2" x14ac:dyDescent="0.2">
      <c r="B213" s="1"/>
    </row>
    <row r="214" spans="2:2" x14ac:dyDescent="0.2">
      <c r="B214" s="1"/>
    </row>
    <row r="215" spans="2:2" x14ac:dyDescent="0.2">
      <c r="B215" s="1"/>
    </row>
    <row r="216" spans="2:2" x14ac:dyDescent="0.2">
      <c r="B216" s="1"/>
    </row>
    <row r="217" spans="2:2" x14ac:dyDescent="0.2">
      <c r="B217" s="1"/>
    </row>
    <row r="218" spans="2:2" x14ac:dyDescent="0.2">
      <c r="B218" s="1"/>
    </row>
    <row r="219" spans="2:2" x14ac:dyDescent="0.2">
      <c r="B219" s="1"/>
    </row>
    <row r="220" spans="2:2" x14ac:dyDescent="0.2">
      <c r="B220" s="1"/>
    </row>
    <row r="221" spans="2:2" x14ac:dyDescent="0.2">
      <c r="B221" s="1"/>
    </row>
    <row r="222" spans="2:2" x14ac:dyDescent="0.2">
      <c r="B222" s="1"/>
    </row>
    <row r="223" spans="2:2" x14ac:dyDescent="0.2">
      <c r="B223" s="1"/>
    </row>
    <row r="224" spans="2:2" x14ac:dyDescent="0.2">
      <c r="B224" s="1"/>
    </row>
    <row r="225" spans="2:2" x14ac:dyDescent="0.2">
      <c r="B225" s="1"/>
    </row>
    <row r="226" spans="2:2" x14ac:dyDescent="0.2">
      <c r="B226" s="1"/>
    </row>
    <row r="227" spans="2:2" x14ac:dyDescent="0.2">
      <c r="B227" s="1"/>
    </row>
    <row r="228" spans="2:2" x14ac:dyDescent="0.2">
      <c r="B228" s="1"/>
    </row>
    <row r="229" spans="2:2" x14ac:dyDescent="0.2">
      <c r="B229" s="1"/>
    </row>
    <row r="230" spans="2:2" x14ac:dyDescent="0.2">
      <c r="B230" s="1"/>
    </row>
    <row r="231" spans="2:2" x14ac:dyDescent="0.2">
      <c r="B231" s="1"/>
    </row>
    <row r="232" spans="2:2" x14ac:dyDescent="0.2">
      <c r="B232" s="1"/>
    </row>
    <row r="233" spans="2:2" x14ac:dyDescent="0.2">
      <c r="B233" s="1"/>
    </row>
    <row r="234" spans="2:2" x14ac:dyDescent="0.2">
      <c r="B234" s="1"/>
    </row>
    <row r="235" spans="2:2" x14ac:dyDescent="0.2">
      <c r="B235" s="1"/>
    </row>
    <row r="236" spans="2:2" x14ac:dyDescent="0.2">
      <c r="B236" s="1"/>
    </row>
    <row r="237" spans="2:2" x14ac:dyDescent="0.2">
      <c r="B237" s="1"/>
    </row>
    <row r="238" spans="2:2" x14ac:dyDescent="0.2">
      <c r="B238" s="1"/>
    </row>
    <row r="239" spans="2:2" x14ac:dyDescent="0.2">
      <c r="B239" s="1"/>
    </row>
    <row r="240" spans="2:2" x14ac:dyDescent="0.2">
      <c r="B240" s="1"/>
    </row>
    <row r="241" spans="2:2" x14ac:dyDescent="0.2">
      <c r="B241" s="1"/>
    </row>
    <row r="242" spans="2:2" x14ac:dyDescent="0.2">
      <c r="B242" s="1"/>
    </row>
    <row r="243" spans="2:2" x14ac:dyDescent="0.2">
      <c r="B243" s="1"/>
    </row>
    <row r="244" spans="2:2" x14ac:dyDescent="0.2">
      <c r="B244" s="1"/>
    </row>
    <row r="245" spans="2:2" x14ac:dyDescent="0.2">
      <c r="B245" s="1"/>
    </row>
    <row r="246" spans="2:2" x14ac:dyDescent="0.2">
      <c r="B246" s="1"/>
    </row>
    <row r="247" spans="2:2" x14ac:dyDescent="0.2">
      <c r="B247" s="1"/>
    </row>
    <row r="248" spans="2:2" x14ac:dyDescent="0.2">
      <c r="B248" s="1"/>
    </row>
    <row r="249" spans="2:2" x14ac:dyDescent="0.2">
      <c r="B249" s="1"/>
    </row>
    <row r="250" spans="2:2" x14ac:dyDescent="0.2">
      <c r="B250" s="1"/>
    </row>
    <row r="251" spans="2:2" x14ac:dyDescent="0.2">
      <c r="B251" s="1"/>
    </row>
    <row r="252" spans="2:2" x14ac:dyDescent="0.2">
      <c r="B252" s="1"/>
    </row>
    <row r="253" spans="2:2" x14ac:dyDescent="0.2">
      <c r="B253" s="1"/>
    </row>
    <row r="254" spans="2:2" x14ac:dyDescent="0.2">
      <c r="B254" s="1"/>
    </row>
    <row r="255" spans="2:2" x14ac:dyDescent="0.2">
      <c r="B255" s="1"/>
    </row>
    <row r="256" spans="2:2" x14ac:dyDescent="0.2">
      <c r="B256" s="1"/>
    </row>
    <row r="257" spans="2:2" x14ac:dyDescent="0.2">
      <c r="B257" s="1"/>
    </row>
    <row r="258" spans="2:2" x14ac:dyDescent="0.2">
      <c r="B258" s="1"/>
    </row>
    <row r="259" spans="2:2" x14ac:dyDescent="0.2">
      <c r="B259" s="1"/>
    </row>
    <row r="260" spans="2:2" x14ac:dyDescent="0.2">
      <c r="B260" s="1"/>
    </row>
    <row r="261" spans="2:2" x14ac:dyDescent="0.2">
      <c r="B261" s="1"/>
    </row>
    <row r="262" spans="2:2" x14ac:dyDescent="0.2">
      <c r="B262" s="1"/>
    </row>
    <row r="263" spans="2:2" x14ac:dyDescent="0.2">
      <c r="B263" s="1"/>
    </row>
    <row r="264" spans="2:2" x14ac:dyDescent="0.2">
      <c r="B264" s="1"/>
    </row>
    <row r="265" spans="2:2" x14ac:dyDescent="0.2">
      <c r="B265" s="1"/>
    </row>
    <row r="266" spans="2:2" x14ac:dyDescent="0.2">
      <c r="B266" s="1"/>
    </row>
    <row r="267" spans="2:2" x14ac:dyDescent="0.2">
      <c r="B267" s="1"/>
    </row>
    <row r="268" spans="2:2" x14ac:dyDescent="0.2">
      <c r="B268" s="1"/>
    </row>
    <row r="269" spans="2:2" x14ac:dyDescent="0.2">
      <c r="B269" s="1"/>
    </row>
    <row r="270" spans="2:2" x14ac:dyDescent="0.2">
      <c r="B270" s="1"/>
    </row>
    <row r="271" spans="2:2" x14ac:dyDescent="0.2">
      <c r="B271" s="1"/>
    </row>
    <row r="272" spans="2:2" x14ac:dyDescent="0.2">
      <c r="B272" s="1"/>
    </row>
    <row r="273" spans="2:2" x14ac:dyDescent="0.2">
      <c r="B273" s="1"/>
    </row>
    <row r="274" spans="2:2" x14ac:dyDescent="0.2">
      <c r="B274" s="1"/>
    </row>
    <row r="275" spans="2:2" x14ac:dyDescent="0.2">
      <c r="B275" s="1"/>
    </row>
    <row r="276" spans="2:2" x14ac:dyDescent="0.2">
      <c r="B276" s="1"/>
    </row>
    <row r="277" spans="2:2" x14ac:dyDescent="0.2">
      <c r="B277" s="1"/>
    </row>
    <row r="278" spans="2:2" x14ac:dyDescent="0.2">
      <c r="B278" s="1"/>
    </row>
    <row r="279" spans="2:2" x14ac:dyDescent="0.2">
      <c r="B279" s="1"/>
    </row>
    <row r="280" spans="2:2" x14ac:dyDescent="0.2">
      <c r="B280" s="1"/>
    </row>
    <row r="281" spans="2:2" x14ac:dyDescent="0.2">
      <c r="B281" s="1"/>
    </row>
    <row r="282" spans="2:2" x14ac:dyDescent="0.2">
      <c r="B282" s="1"/>
    </row>
    <row r="283" spans="2:2" x14ac:dyDescent="0.2">
      <c r="B283" s="1"/>
    </row>
    <row r="284" spans="2:2" x14ac:dyDescent="0.2">
      <c r="B284" s="1"/>
    </row>
    <row r="285" spans="2:2" x14ac:dyDescent="0.2">
      <c r="B285" s="1"/>
    </row>
    <row r="286" spans="2:2" x14ac:dyDescent="0.2">
      <c r="B286" s="1"/>
    </row>
    <row r="287" spans="2:2" x14ac:dyDescent="0.2">
      <c r="B287" s="1"/>
    </row>
    <row r="288" spans="2:2" x14ac:dyDescent="0.2">
      <c r="B288" s="1"/>
    </row>
    <row r="289" spans="2:2" x14ac:dyDescent="0.2">
      <c r="B289" s="1"/>
    </row>
    <row r="290" spans="2:2" x14ac:dyDescent="0.2">
      <c r="B290" s="1"/>
    </row>
    <row r="291" spans="2:2" x14ac:dyDescent="0.2">
      <c r="B291" s="1"/>
    </row>
    <row r="292" spans="2:2" x14ac:dyDescent="0.2">
      <c r="B292" s="1"/>
    </row>
    <row r="293" spans="2:2" x14ac:dyDescent="0.2">
      <c r="B293" s="1"/>
    </row>
    <row r="294" spans="2:2" x14ac:dyDescent="0.2">
      <c r="B294" s="1"/>
    </row>
    <row r="295" spans="2:2" x14ac:dyDescent="0.2">
      <c r="B295" s="1"/>
    </row>
    <row r="296" spans="2:2" x14ac:dyDescent="0.2">
      <c r="B296" s="1"/>
    </row>
    <row r="297" spans="2:2" x14ac:dyDescent="0.2">
      <c r="B297" s="1"/>
    </row>
    <row r="298" spans="2:2" x14ac:dyDescent="0.2">
      <c r="B298" s="1"/>
    </row>
    <row r="299" spans="2:2" x14ac:dyDescent="0.2">
      <c r="B299" s="1"/>
    </row>
    <row r="300" spans="2:2" x14ac:dyDescent="0.2">
      <c r="B300" s="1"/>
    </row>
    <row r="301" spans="2:2" x14ac:dyDescent="0.2">
      <c r="B301" s="1"/>
    </row>
    <row r="302" spans="2:2" x14ac:dyDescent="0.2">
      <c r="B302" s="1"/>
    </row>
    <row r="303" spans="2:2" x14ac:dyDescent="0.2">
      <c r="B303" s="1"/>
    </row>
    <row r="304" spans="2:2" x14ac:dyDescent="0.2">
      <c r="B304" s="1"/>
    </row>
    <row r="305" spans="2:2" x14ac:dyDescent="0.2">
      <c r="B305" s="1"/>
    </row>
    <row r="306" spans="2:2" x14ac:dyDescent="0.2">
      <c r="B306" s="1"/>
    </row>
    <row r="307" spans="2:2" x14ac:dyDescent="0.2">
      <c r="B307" s="1"/>
    </row>
    <row r="308" spans="2:2" x14ac:dyDescent="0.2">
      <c r="B308" s="1"/>
    </row>
    <row r="309" spans="2:2" x14ac:dyDescent="0.2">
      <c r="B309" s="1"/>
    </row>
    <row r="310" spans="2:2" x14ac:dyDescent="0.2">
      <c r="B310" s="1"/>
    </row>
    <row r="311" spans="2:2" x14ac:dyDescent="0.2">
      <c r="B311" s="1"/>
    </row>
    <row r="312" spans="2:2" x14ac:dyDescent="0.2">
      <c r="B312" s="1"/>
    </row>
    <row r="313" spans="2:2" x14ac:dyDescent="0.2">
      <c r="B313" s="1"/>
    </row>
    <row r="314" spans="2:2" x14ac:dyDescent="0.2">
      <c r="B314" s="1"/>
    </row>
    <row r="315" spans="2:2" x14ac:dyDescent="0.2">
      <c r="B315" s="1"/>
    </row>
    <row r="316" spans="2:2" x14ac:dyDescent="0.2">
      <c r="B316" s="1"/>
    </row>
    <row r="317" spans="2:2" x14ac:dyDescent="0.2">
      <c r="B317" s="1"/>
    </row>
    <row r="318" spans="2:2" x14ac:dyDescent="0.2">
      <c r="B318" s="1"/>
    </row>
    <row r="319" spans="2:2" x14ac:dyDescent="0.2">
      <c r="B319" s="1"/>
    </row>
    <row r="320" spans="2:2" x14ac:dyDescent="0.2">
      <c r="B320" s="1"/>
    </row>
    <row r="321" spans="2:2" x14ac:dyDescent="0.2">
      <c r="B321" s="1"/>
    </row>
    <row r="322" spans="2:2" x14ac:dyDescent="0.2">
      <c r="B322" s="1"/>
    </row>
    <row r="323" spans="2:2" x14ac:dyDescent="0.2">
      <c r="B323" s="1"/>
    </row>
    <row r="324" spans="2:2" x14ac:dyDescent="0.2">
      <c r="B324" s="1"/>
    </row>
    <row r="325" spans="2:2" x14ac:dyDescent="0.2">
      <c r="B325" s="1"/>
    </row>
    <row r="326" spans="2:2" x14ac:dyDescent="0.2">
      <c r="B326" s="1"/>
    </row>
    <row r="327" spans="2:2" x14ac:dyDescent="0.2">
      <c r="B327" s="1"/>
    </row>
    <row r="328" spans="2:2" x14ac:dyDescent="0.2">
      <c r="B328" s="1"/>
    </row>
    <row r="329" spans="2:2" x14ac:dyDescent="0.2">
      <c r="B329" s="1"/>
    </row>
    <row r="330" spans="2:2" x14ac:dyDescent="0.2">
      <c r="B330" s="1"/>
    </row>
    <row r="331" spans="2:2" x14ac:dyDescent="0.2">
      <c r="B331" s="1"/>
    </row>
    <row r="332" spans="2:2" x14ac:dyDescent="0.2">
      <c r="B332" s="1"/>
    </row>
    <row r="333" spans="2:2" x14ac:dyDescent="0.2">
      <c r="B333" s="1"/>
    </row>
    <row r="334" spans="2:2" x14ac:dyDescent="0.2">
      <c r="B334" s="1"/>
    </row>
    <row r="335" spans="2:2" x14ac:dyDescent="0.2">
      <c r="B335" s="1"/>
    </row>
    <row r="336" spans="2:2" x14ac:dyDescent="0.2">
      <c r="B336" s="1"/>
    </row>
    <row r="337" spans="2:2" x14ac:dyDescent="0.2">
      <c r="B337" s="1"/>
    </row>
    <row r="338" spans="2:2" x14ac:dyDescent="0.2">
      <c r="B338" s="1"/>
    </row>
    <row r="339" spans="2:2" x14ac:dyDescent="0.2">
      <c r="B339" s="1"/>
    </row>
    <row r="340" spans="2:2" x14ac:dyDescent="0.2">
      <c r="B340" s="1"/>
    </row>
    <row r="341" spans="2:2" x14ac:dyDescent="0.2">
      <c r="B341" s="1"/>
    </row>
    <row r="342" spans="2:2" x14ac:dyDescent="0.2">
      <c r="B342" s="1"/>
    </row>
    <row r="343" spans="2:2" x14ac:dyDescent="0.2">
      <c r="B343" s="1"/>
    </row>
    <row r="344" spans="2:2" x14ac:dyDescent="0.2">
      <c r="B344" s="1"/>
    </row>
    <row r="345" spans="2:2" x14ac:dyDescent="0.2">
      <c r="B345" s="1"/>
    </row>
    <row r="346" spans="2:2" x14ac:dyDescent="0.2">
      <c r="B346" s="1"/>
    </row>
    <row r="347" spans="2:2" x14ac:dyDescent="0.2">
      <c r="B347" s="1"/>
    </row>
    <row r="348" spans="2:2" x14ac:dyDescent="0.2">
      <c r="B348" s="1"/>
    </row>
    <row r="349" spans="2:2" x14ac:dyDescent="0.2">
      <c r="B349" s="1"/>
    </row>
    <row r="350" spans="2:2" x14ac:dyDescent="0.2">
      <c r="B350" s="1"/>
    </row>
    <row r="351" spans="2:2" x14ac:dyDescent="0.2">
      <c r="B351" s="1"/>
    </row>
    <row r="352" spans="2:2" x14ac:dyDescent="0.2">
      <c r="B352" s="1"/>
    </row>
    <row r="353" spans="2:2" x14ac:dyDescent="0.2">
      <c r="B353" s="1"/>
    </row>
    <row r="354" spans="2:2" x14ac:dyDescent="0.2">
      <c r="B354" s="1"/>
    </row>
    <row r="355" spans="2:2" x14ac:dyDescent="0.2">
      <c r="B355" s="1"/>
    </row>
    <row r="356" spans="2:2" x14ac:dyDescent="0.2">
      <c r="B356" s="1"/>
    </row>
    <row r="357" spans="2:2" x14ac:dyDescent="0.2">
      <c r="B357" s="1"/>
    </row>
    <row r="358" spans="2:2" x14ac:dyDescent="0.2">
      <c r="B358" s="1"/>
    </row>
    <row r="359" spans="2:2" x14ac:dyDescent="0.2">
      <c r="B359" s="1"/>
    </row>
    <row r="360" spans="2:2" x14ac:dyDescent="0.2">
      <c r="B360" s="1"/>
    </row>
    <row r="361" spans="2:2" x14ac:dyDescent="0.2">
      <c r="B361" s="1"/>
    </row>
    <row r="362" spans="2:2" x14ac:dyDescent="0.2">
      <c r="B362" s="1"/>
    </row>
    <row r="363" spans="2:2" x14ac:dyDescent="0.2">
      <c r="B363" s="1"/>
    </row>
    <row r="364" spans="2:2" x14ac:dyDescent="0.2">
      <c r="B364" s="1"/>
    </row>
    <row r="365" spans="2:2" x14ac:dyDescent="0.2">
      <c r="B365" s="1"/>
    </row>
    <row r="366" spans="2:2" x14ac:dyDescent="0.2">
      <c r="B366" s="1"/>
    </row>
    <row r="367" spans="2:2" x14ac:dyDescent="0.2">
      <c r="B367" s="1"/>
    </row>
    <row r="368" spans="2:2" x14ac:dyDescent="0.2">
      <c r="B368" s="1"/>
    </row>
    <row r="369" spans="2:2" x14ac:dyDescent="0.2">
      <c r="B369" s="1"/>
    </row>
    <row r="370" spans="2:2" x14ac:dyDescent="0.2">
      <c r="B370" s="1"/>
    </row>
    <row r="371" spans="2:2" x14ac:dyDescent="0.2">
      <c r="B371" s="1"/>
    </row>
    <row r="372" spans="2:2" x14ac:dyDescent="0.2">
      <c r="B372" s="1"/>
    </row>
    <row r="373" spans="2:2" x14ac:dyDescent="0.2">
      <c r="B373" s="1"/>
    </row>
    <row r="374" spans="2:2" x14ac:dyDescent="0.2">
      <c r="B374" s="1"/>
    </row>
    <row r="375" spans="2:2" x14ac:dyDescent="0.2">
      <c r="B375" s="1"/>
    </row>
    <row r="376" spans="2:2" x14ac:dyDescent="0.2">
      <c r="B376" s="1"/>
    </row>
    <row r="377" spans="2:2" x14ac:dyDescent="0.2">
      <c r="B377" s="1"/>
    </row>
    <row r="378" spans="2:2" x14ac:dyDescent="0.2">
      <c r="B378" s="1"/>
    </row>
    <row r="379" spans="2:2" x14ac:dyDescent="0.2">
      <c r="B379" s="1"/>
    </row>
    <row r="380" spans="2:2" x14ac:dyDescent="0.2">
      <c r="B380" s="1"/>
    </row>
    <row r="381" spans="2:2" x14ac:dyDescent="0.2">
      <c r="B381" s="1"/>
    </row>
    <row r="382" spans="2:2" x14ac:dyDescent="0.2">
      <c r="B382" s="1"/>
    </row>
    <row r="383" spans="2:2" x14ac:dyDescent="0.2">
      <c r="B383" s="1"/>
    </row>
    <row r="384" spans="2:2" x14ac:dyDescent="0.2">
      <c r="B384" s="1"/>
    </row>
    <row r="385" spans="2:2" x14ac:dyDescent="0.2">
      <c r="B385" s="1"/>
    </row>
    <row r="386" spans="2:2" x14ac:dyDescent="0.2">
      <c r="B386" s="1"/>
    </row>
    <row r="387" spans="2:2" x14ac:dyDescent="0.2">
      <c r="B387" s="1"/>
    </row>
    <row r="388" spans="2:2" x14ac:dyDescent="0.2">
      <c r="B388" s="1"/>
    </row>
    <row r="389" spans="2:2" x14ac:dyDescent="0.2">
      <c r="B389" s="1"/>
    </row>
    <row r="390" spans="2:2" x14ac:dyDescent="0.2">
      <c r="B390" s="1"/>
    </row>
    <row r="391" spans="2:2" x14ac:dyDescent="0.2">
      <c r="B391" s="1"/>
    </row>
    <row r="392" spans="2:2" x14ac:dyDescent="0.2">
      <c r="B392" s="1"/>
    </row>
    <row r="393" spans="2:2" x14ac:dyDescent="0.2">
      <c r="B393" s="1"/>
    </row>
    <row r="394" spans="2:2" x14ac:dyDescent="0.2">
      <c r="B394" s="1"/>
    </row>
    <row r="395" spans="2:2" x14ac:dyDescent="0.2">
      <c r="B395" s="1"/>
    </row>
    <row r="396" spans="2:2" x14ac:dyDescent="0.2">
      <c r="B396" s="1"/>
    </row>
    <row r="397" spans="2:2" x14ac:dyDescent="0.2">
      <c r="B397" s="1"/>
    </row>
    <row r="398" spans="2:2" x14ac:dyDescent="0.2">
      <c r="B398" s="1"/>
    </row>
    <row r="399" spans="2:2" x14ac:dyDescent="0.2">
      <c r="B399" s="1"/>
    </row>
    <row r="400" spans="2:2" x14ac:dyDescent="0.2">
      <c r="B400" s="1"/>
    </row>
    <row r="401" spans="2:2" x14ac:dyDescent="0.2">
      <c r="B401" s="1"/>
    </row>
    <row r="402" spans="2:2" x14ac:dyDescent="0.2">
      <c r="B402" s="1"/>
    </row>
    <row r="403" spans="2:2" x14ac:dyDescent="0.2">
      <c r="B403" s="1"/>
    </row>
    <row r="404" spans="2:2" x14ac:dyDescent="0.2">
      <c r="B404" s="1"/>
    </row>
    <row r="405" spans="2:2" x14ac:dyDescent="0.2">
      <c r="B405" s="1"/>
    </row>
    <row r="406" spans="2:2" x14ac:dyDescent="0.2">
      <c r="B406" s="1"/>
    </row>
    <row r="407" spans="2:2" x14ac:dyDescent="0.2">
      <c r="B407" s="1"/>
    </row>
    <row r="408" spans="2:2" x14ac:dyDescent="0.2">
      <c r="B408" s="1"/>
    </row>
    <row r="409" spans="2:2" x14ac:dyDescent="0.2">
      <c r="B409" s="1"/>
    </row>
    <row r="410" spans="2:2" x14ac:dyDescent="0.2">
      <c r="B410" s="1"/>
    </row>
    <row r="411" spans="2:2" x14ac:dyDescent="0.2">
      <c r="B411" s="1"/>
    </row>
    <row r="412" spans="2:2" x14ac:dyDescent="0.2">
      <c r="B412" s="1"/>
    </row>
    <row r="413" spans="2:2" x14ac:dyDescent="0.2">
      <c r="B413" s="1"/>
    </row>
    <row r="414" spans="2:2" x14ac:dyDescent="0.2">
      <c r="B414" s="1"/>
    </row>
    <row r="415" spans="2:2" x14ac:dyDescent="0.2">
      <c r="B415" s="1"/>
    </row>
    <row r="416" spans="2:2" x14ac:dyDescent="0.2">
      <c r="B416" s="1"/>
    </row>
    <row r="417" spans="2:2" x14ac:dyDescent="0.2">
      <c r="B417" s="1"/>
    </row>
    <row r="418" spans="2:2" x14ac:dyDescent="0.2">
      <c r="B418" s="1"/>
    </row>
    <row r="419" spans="2:2" x14ac:dyDescent="0.2">
      <c r="B419" s="1"/>
    </row>
    <row r="420" spans="2:2" x14ac:dyDescent="0.2">
      <c r="B420" s="1"/>
    </row>
    <row r="421" spans="2:2" x14ac:dyDescent="0.2">
      <c r="B421" s="1"/>
    </row>
    <row r="422" spans="2:2" x14ac:dyDescent="0.2">
      <c r="B422" s="1"/>
    </row>
    <row r="423" spans="2:2" x14ac:dyDescent="0.2">
      <c r="B423" s="1"/>
    </row>
    <row r="424" spans="2:2" x14ac:dyDescent="0.2">
      <c r="B424" s="1"/>
    </row>
    <row r="425" spans="2:2" x14ac:dyDescent="0.2">
      <c r="B425" s="1"/>
    </row>
    <row r="426" spans="2:2" x14ac:dyDescent="0.2">
      <c r="B426" s="1"/>
    </row>
    <row r="427" spans="2:2" x14ac:dyDescent="0.2">
      <c r="B427" s="1"/>
    </row>
    <row r="428" spans="2:2" x14ac:dyDescent="0.2">
      <c r="B428" s="1"/>
    </row>
    <row r="429" spans="2:2" x14ac:dyDescent="0.2">
      <c r="B429" s="1"/>
    </row>
    <row r="430" spans="2:2" x14ac:dyDescent="0.2">
      <c r="B430" s="1"/>
    </row>
    <row r="431" spans="2:2" x14ac:dyDescent="0.2">
      <c r="B431" s="1"/>
    </row>
    <row r="432" spans="2:2" x14ac:dyDescent="0.2">
      <c r="B432" s="1"/>
    </row>
    <row r="433" spans="2:2" x14ac:dyDescent="0.2">
      <c r="B433" s="1"/>
    </row>
    <row r="434" spans="2:2" x14ac:dyDescent="0.2">
      <c r="B434" s="1"/>
    </row>
    <row r="435" spans="2:2" x14ac:dyDescent="0.2">
      <c r="B435" s="1"/>
    </row>
    <row r="436" spans="2:2" x14ac:dyDescent="0.2">
      <c r="B436" s="1"/>
    </row>
    <row r="437" spans="2:2" x14ac:dyDescent="0.2">
      <c r="B437" s="1"/>
    </row>
    <row r="438" spans="2:2" x14ac:dyDescent="0.2">
      <c r="B438" s="1"/>
    </row>
    <row r="439" spans="2:2" x14ac:dyDescent="0.2">
      <c r="B439" s="1"/>
    </row>
    <row r="440" spans="2:2" x14ac:dyDescent="0.2">
      <c r="B440" s="1"/>
    </row>
    <row r="441" spans="2:2" x14ac:dyDescent="0.2">
      <c r="B441" s="1"/>
    </row>
    <row r="442" spans="2:2" x14ac:dyDescent="0.2">
      <c r="B442" s="1"/>
    </row>
    <row r="443" spans="2:2" x14ac:dyDescent="0.2">
      <c r="B443" s="1"/>
    </row>
    <row r="444" spans="2:2" x14ac:dyDescent="0.2">
      <c r="B444" s="1"/>
    </row>
    <row r="445" spans="2:2" x14ac:dyDescent="0.2">
      <c r="B445" s="1"/>
    </row>
    <row r="446" spans="2:2" x14ac:dyDescent="0.2">
      <c r="B446" s="1"/>
    </row>
    <row r="447" spans="2:2" x14ac:dyDescent="0.2">
      <c r="B447" s="1"/>
    </row>
    <row r="448" spans="2:2" x14ac:dyDescent="0.2">
      <c r="B448" s="1"/>
    </row>
    <row r="449" spans="2:2" x14ac:dyDescent="0.2">
      <c r="B449" s="1"/>
    </row>
    <row r="450" spans="2:2" x14ac:dyDescent="0.2">
      <c r="B450" s="1"/>
    </row>
    <row r="451" spans="2:2" x14ac:dyDescent="0.2">
      <c r="B451" s="1"/>
    </row>
    <row r="452" spans="2:2" x14ac:dyDescent="0.2">
      <c r="B452" s="1"/>
    </row>
    <row r="453" spans="2:2" x14ac:dyDescent="0.2">
      <c r="B453" s="1"/>
    </row>
    <row r="454" spans="2:2" x14ac:dyDescent="0.2">
      <c r="B454" s="1"/>
    </row>
    <row r="455" spans="2:2" x14ac:dyDescent="0.2">
      <c r="B455" s="1"/>
    </row>
    <row r="456" spans="2:2" x14ac:dyDescent="0.2">
      <c r="B456" s="1"/>
    </row>
    <row r="457" spans="2:2" x14ac:dyDescent="0.2">
      <c r="B457" s="1"/>
    </row>
    <row r="458" spans="2:2" x14ac:dyDescent="0.2">
      <c r="B458" s="1"/>
    </row>
    <row r="459" spans="2:2" x14ac:dyDescent="0.2">
      <c r="B459" s="1"/>
    </row>
    <row r="460" spans="2:2" x14ac:dyDescent="0.2">
      <c r="B460" s="1"/>
    </row>
    <row r="461" spans="2:2" x14ac:dyDescent="0.2">
      <c r="B461" s="1"/>
    </row>
    <row r="462" spans="2:2" x14ac:dyDescent="0.2">
      <c r="B462" s="1"/>
    </row>
    <row r="463" spans="2:2" x14ac:dyDescent="0.2">
      <c r="B463" s="1"/>
    </row>
    <row r="464" spans="2:2" x14ac:dyDescent="0.2">
      <c r="B464" s="1"/>
    </row>
    <row r="465" spans="2:2" x14ac:dyDescent="0.2">
      <c r="B465" s="1"/>
    </row>
    <row r="466" spans="2:2" x14ac:dyDescent="0.2">
      <c r="B466" s="1"/>
    </row>
    <row r="467" spans="2:2" x14ac:dyDescent="0.2">
      <c r="B467" s="1"/>
    </row>
    <row r="468" spans="2:2" x14ac:dyDescent="0.2">
      <c r="B468" s="1"/>
    </row>
    <row r="469" spans="2:2" x14ac:dyDescent="0.2">
      <c r="B469" s="1"/>
    </row>
    <row r="470" spans="2:2" x14ac:dyDescent="0.2">
      <c r="B470" s="1"/>
    </row>
    <row r="471" spans="2:2" x14ac:dyDescent="0.2">
      <c r="B471" s="1"/>
    </row>
    <row r="472" spans="2:2" x14ac:dyDescent="0.2">
      <c r="B472" s="1"/>
    </row>
    <row r="473" spans="2:2" x14ac:dyDescent="0.2">
      <c r="B473" s="1"/>
    </row>
    <row r="474" spans="2:2" x14ac:dyDescent="0.2">
      <c r="B474" s="1"/>
    </row>
    <row r="475" spans="2:2" x14ac:dyDescent="0.2">
      <c r="B475" s="1"/>
    </row>
    <row r="476" spans="2:2" x14ac:dyDescent="0.2">
      <c r="B476" s="1"/>
    </row>
    <row r="477" spans="2:2" x14ac:dyDescent="0.2">
      <c r="B477" s="1"/>
    </row>
    <row r="478" spans="2:2" x14ac:dyDescent="0.2">
      <c r="B478" s="1"/>
    </row>
    <row r="479" spans="2:2" x14ac:dyDescent="0.2">
      <c r="B479" s="1"/>
    </row>
    <row r="480" spans="2:2" x14ac:dyDescent="0.2">
      <c r="B480" s="1"/>
    </row>
    <row r="481" spans="2:2" x14ac:dyDescent="0.2">
      <c r="B481" s="1"/>
    </row>
    <row r="482" spans="2:2" x14ac:dyDescent="0.2">
      <c r="B482" s="1"/>
    </row>
    <row r="483" spans="2:2" x14ac:dyDescent="0.2">
      <c r="B483" s="1"/>
    </row>
    <row r="484" spans="2:2" x14ac:dyDescent="0.2">
      <c r="B484" s="1"/>
    </row>
    <row r="485" spans="2:2" x14ac:dyDescent="0.2">
      <c r="B485" s="1"/>
    </row>
    <row r="486" spans="2:2" x14ac:dyDescent="0.2">
      <c r="B486" s="1"/>
    </row>
    <row r="487" spans="2:2" x14ac:dyDescent="0.2">
      <c r="B487" s="1"/>
    </row>
    <row r="488" spans="2:2" x14ac:dyDescent="0.2">
      <c r="B488" s="1"/>
    </row>
    <row r="489" spans="2:2" x14ac:dyDescent="0.2">
      <c r="B489" s="1"/>
    </row>
    <row r="490" spans="2:2" x14ac:dyDescent="0.2">
      <c r="B490" s="1"/>
    </row>
    <row r="491" spans="2:2" x14ac:dyDescent="0.2">
      <c r="B491" s="1"/>
    </row>
    <row r="492" spans="2:2" x14ac:dyDescent="0.2">
      <c r="B492" s="1"/>
    </row>
    <row r="493" spans="2:2" x14ac:dyDescent="0.2">
      <c r="B493" s="1"/>
    </row>
    <row r="494" spans="2:2" x14ac:dyDescent="0.2">
      <c r="B494" s="1"/>
    </row>
    <row r="495" spans="2:2" x14ac:dyDescent="0.2">
      <c r="B495" s="1"/>
    </row>
    <row r="496" spans="2:2" x14ac:dyDescent="0.2">
      <c r="B496" s="1"/>
    </row>
    <row r="497" spans="2:2" x14ac:dyDescent="0.2">
      <c r="B497" s="1"/>
    </row>
    <row r="498" spans="2:2" x14ac:dyDescent="0.2">
      <c r="B498" s="1"/>
    </row>
    <row r="499" spans="2:2" x14ac:dyDescent="0.2">
      <c r="B499" s="1"/>
    </row>
    <row r="500" spans="2:2" x14ac:dyDescent="0.2">
      <c r="B500" s="1"/>
    </row>
    <row r="501" spans="2:2" x14ac:dyDescent="0.2">
      <c r="B501" s="1"/>
    </row>
    <row r="502" spans="2:2" x14ac:dyDescent="0.2">
      <c r="B502" s="1"/>
    </row>
    <row r="503" spans="2:2" x14ac:dyDescent="0.2">
      <c r="B503" s="1"/>
    </row>
    <row r="504" spans="2:2" x14ac:dyDescent="0.2">
      <c r="B504" s="1"/>
    </row>
    <row r="505" spans="2:2" x14ac:dyDescent="0.2">
      <c r="B505" s="1"/>
    </row>
    <row r="506" spans="2:2" x14ac:dyDescent="0.2">
      <c r="B506" s="1"/>
    </row>
    <row r="507" spans="2:2" x14ac:dyDescent="0.2">
      <c r="B507" s="1"/>
    </row>
    <row r="508" spans="2:2" x14ac:dyDescent="0.2">
      <c r="B508" s="1"/>
    </row>
    <row r="509" spans="2:2" x14ac:dyDescent="0.2">
      <c r="B509" s="1"/>
    </row>
    <row r="510" spans="2:2" x14ac:dyDescent="0.2">
      <c r="B510" s="1"/>
    </row>
    <row r="511" spans="2:2" x14ac:dyDescent="0.2">
      <c r="B511" s="1"/>
    </row>
    <row r="512" spans="2:2" x14ac:dyDescent="0.2">
      <c r="B512" s="1"/>
    </row>
    <row r="513" spans="2:2" x14ac:dyDescent="0.2">
      <c r="B513" s="1"/>
    </row>
    <row r="514" spans="2:2" x14ac:dyDescent="0.2">
      <c r="B514" s="1"/>
    </row>
    <row r="515" spans="2:2" x14ac:dyDescent="0.2">
      <c r="B515" s="1"/>
    </row>
    <row r="516" spans="2:2" x14ac:dyDescent="0.2">
      <c r="B516" s="1"/>
    </row>
    <row r="517" spans="2:2" x14ac:dyDescent="0.2">
      <c r="B517" s="1"/>
    </row>
    <row r="518" spans="2:2" x14ac:dyDescent="0.2">
      <c r="B518" s="1"/>
    </row>
    <row r="519" spans="2:2" x14ac:dyDescent="0.2">
      <c r="B519" s="1"/>
    </row>
    <row r="520" spans="2:2" x14ac:dyDescent="0.2">
      <c r="B520" s="1"/>
    </row>
    <row r="521" spans="2:2" x14ac:dyDescent="0.2">
      <c r="B521" s="1"/>
    </row>
    <row r="522" spans="2:2" x14ac:dyDescent="0.2">
      <c r="B522" s="1"/>
    </row>
    <row r="523" spans="2:2" x14ac:dyDescent="0.2">
      <c r="B523" s="1"/>
    </row>
    <row r="524" spans="2:2" x14ac:dyDescent="0.2">
      <c r="B524" s="1"/>
    </row>
    <row r="525" spans="2:2" x14ac:dyDescent="0.2">
      <c r="B525" s="1"/>
    </row>
    <row r="526" spans="2:2" x14ac:dyDescent="0.2">
      <c r="B526" s="1"/>
    </row>
    <row r="527" spans="2:2" x14ac:dyDescent="0.2">
      <c r="B527" s="1"/>
    </row>
    <row r="528" spans="2:2" x14ac:dyDescent="0.2">
      <c r="B528" s="1"/>
    </row>
    <row r="529" spans="2:2" x14ac:dyDescent="0.2">
      <c r="B529" s="1"/>
    </row>
    <row r="530" spans="2:2" x14ac:dyDescent="0.2">
      <c r="B530" s="1"/>
    </row>
    <row r="531" spans="2:2" x14ac:dyDescent="0.2">
      <c r="B531" s="1"/>
    </row>
    <row r="532" spans="2:2" x14ac:dyDescent="0.2">
      <c r="B532" s="1"/>
    </row>
    <row r="533" spans="2:2" x14ac:dyDescent="0.2">
      <c r="B533" s="1"/>
    </row>
    <row r="534" spans="2:2" x14ac:dyDescent="0.2">
      <c r="B534" s="1"/>
    </row>
    <row r="535" spans="2:2" x14ac:dyDescent="0.2">
      <c r="B535" s="1"/>
    </row>
    <row r="536" spans="2:2" x14ac:dyDescent="0.2">
      <c r="B536" s="1"/>
    </row>
    <row r="537" spans="2:2" x14ac:dyDescent="0.2">
      <c r="B537" s="1"/>
    </row>
    <row r="538" spans="2:2" x14ac:dyDescent="0.2">
      <c r="B538" s="1"/>
    </row>
    <row r="539" spans="2:2" x14ac:dyDescent="0.2">
      <c r="B539" s="1"/>
    </row>
    <row r="540" spans="2:2" x14ac:dyDescent="0.2">
      <c r="B540" s="1"/>
    </row>
    <row r="541" spans="2:2" x14ac:dyDescent="0.2">
      <c r="B541" s="1"/>
    </row>
    <row r="542" spans="2:2" x14ac:dyDescent="0.2">
      <c r="B542" s="1"/>
    </row>
    <row r="543" spans="2:2" x14ac:dyDescent="0.2">
      <c r="B543" s="1"/>
    </row>
    <row r="544" spans="2:2" x14ac:dyDescent="0.2">
      <c r="B544" s="1"/>
    </row>
    <row r="545" spans="2:2" x14ac:dyDescent="0.2">
      <c r="B545" s="1"/>
    </row>
    <row r="546" spans="2:2" x14ac:dyDescent="0.2">
      <c r="B546" s="1"/>
    </row>
    <row r="547" spans="2:2" x14ac:dyDescent="0.2">
      <c r="B547" s="1"/>
    </row>
    <row r="548" spans="2:2" x14ac:dyDescent="0.2">
      <c r="B548" s="1"/>
    </row>
    <row r="549" spans="2:2" x14ac:dyDescent="0.2">
      <c r="B549" s="1"/>
    </row>
    <row r="550" spans="2:2" x14ac:dyDescent="0.2">
      <c r="B550" s="1"/>
    </row>
    <row r="551" spans="2:2" x14ac:dyDescent="0.2">
      <c r="B551" s="1"/>
    </row>
    <row r="552" spans="2:2" x14ac:dyDescent="0.2">
      <c r="B552" s="1"/>
    </row>
    <row r="553" spans="2:2" x14ac:dyDescent="0.2">
      <c r="B553" s="1"/>
    </row>
    <row r="554" spans="2:2" x14ac:dyDescent="0.2">
      <c r="B554" s="1"/>
    </row>
    <row r="555" spans="2:2" x14ac:dyDescent="0.2">
      <c r="B555" s="1"/>
    </row>
    <row r="556" spans="2:2" x14ac:dyDescent="0.2">
      <c r="B556" s="1"/>
    </row>
    <row r="557" spans="2:2" x14ac:dyDescent="0.2">
      <c r="B557" s="1"/>
    </row>
    <row r="558" spans="2:2" x14ac:dyDescent="0.2">
      <c r="B558" s="1"/>
    </row>
    <row r="559" spans="2:2" x14ac:dyDescent="0.2">
      <c r="B559" s="1"/>
    </row>
    <row r="560" spans="2:2" x14ac:dyDescent="0.2">
      <c r="B560" s="1"/>
    </row>
    <row r="561" spans="2:2" x14ac:dyDescent="0.2">
      <c r="B561" s="1"/>
    </row>
    <row r="562" spans="2:2" x14ac:dyDescent="0.2">
      <c r="B562" s="1"/>
    </row>
    <row r="563" spans="2:2" x14ac:dyDescent="0.2">
      <c r="B563" s="1"/>
    </row>
    <row r="564" spans="2:2" x14ac:dyDescent="0.2">
      <c r="B564" s="1"/>
    </row>
    <row r="565" spans="2:2" x14ac:dyDescent="0.2">
      <c r="B565" s="1"/>
    </row>
    <row r="566" spans="2:2" x14ac:dyDescent="0.2">
      <c r="B566" s="1"/>
    </row>
    <row r="567" spans="2:2" x14ac:dyDescent="0.2">
      <c r="B567" s="1"/>
    </row>
    <row r="568" spans="2:2" x14ac:dyDescent="0.2">
      <c r="B568" s="1"/>
    </row>
    <row r="569" spans="2:2" x14ac:dyDescent="0.2">
      <c r="B569" s="1"/>
    </row>
    <row r="570" spans="2:2" x14ac:dyDescent="0.2">
      <c r="B570" s="1"/>
    </row>
    <row r="571" spans="2:2" x14ac:dyDescent="0.2">
      <c r="B571" s="1"/>
    </row>
    <row r="572" spans="2:2" x14ac:dyDescent="0.2">
      <c r="B572" s="1"/>
    </row>
    <row r="573" spans="2:2" x14ac:dyDescent="0.2">
      <c r="B573" s="1"/>
    </row>
    <row r="574" spans="2:2" x14ac:dyDescent="0.2">
      <c r="B574" s="1"/>
    </row>
    <row r="575" spans="2:2" x14ac:dyDescent="0.2">
      <c r="B575" s="1"/>
    </row>
    <row r="576" spans="2:2" x14ac:dyDescent="0.2">
      <c r="B576" s="1"/>
    </row>
    <row r="577" spans="2:2" x14ac:dyDescent="0.2">
      <c r="B577" s="1"/>
    </row>
    <row r="578" spans="2:2" x14ac:dyDescent="0.2">
      <c r="B578" s="1"/>
    </row>
    <row r="579" spans="2:2" x14ac:dyDescent="0.2">
      <c r="B579" s="1"/>
    </row>
    <row r="580" spans="2:2" x14ac:dyDescent="0.2">
      <c r="B580" s="1"/>
    </row>
    <row r="581" spans="2:2" x14ac:dyDescent="0.2">
      <c r="B581" s="1"/>
    </row>
    <row r="582" spans="2:2" x14ac:dyDescent="0.2">
      <c r="B582" s="1"/>
    </row>
    <row r="583" spans="2:2" x14ac:dyDescent="0.2">
      <c r="B583" s="1"/>
    </row>
    <row r="584" spans="2:2" x14ac:dyDescent="0.2">
      <c r="B584" s="1"/>
    </row>
    <row r="585" spans="2:2" x14ac:dyDescent="0.2">
      <c r="B585" s="1"/>
    </row>
    <row r="586" spans="2:2" x14ac:dyDescent="0.2">
      <c r="B586" s="1"/>
    </row>
    <row r="587" spans="2:2" x14ac:dyDescent="0.2">
      <c r="B587" s="1"/>
    </row>
    <row r="588" spans="2:2" x14ac:dyDescent="0.2">
      <c r="B588" s="1"/>
    </row>
    <row r="589" spans="2:2" x14ac:dyDescent="0.2">
      <c r="B589" s="1"/>
    </row>
    <row r="590" spans="2:2" x14ac:dyDescent="0.2">
      <c r="B590" s="1"/>
    </row>
    <row r="591" spans="2:2" x14ac:dyDescent="0.2">
      <c r="B591" s="1"/>
    </row>
    <row r="592" spans="2:2" x14ac:dyDescent="0.2">
      <c r="B592" s="1"/>
    </row>
    <row r="593" spans="2:2" x14ac:dyDescent="0.2">
      <c r="B593" s="1"/>
    </row>
    <row r="594" spans="2:2" x14ac:dyDescent="0.2">
      <c r="B594" s="1"/>
    </row>
    <row r="595" spans="2:2" x14ac:dyDescent="0.2">
      <c r="B595" s="1"/>
    </row>
    <row r="596" spans="2:2" x14ac:dyDescent="0.2">
      <c r="B596" s="1"/>
    </row>
    <row r="597" spans="2:2" x14ac:dyDescent="0.2">
      <c r="B597" s="1"/>
    </row>
    <row r="598" spans="2:2" x14ac:dyDescent="0.2">
      <c r="B598" s="1"/>
    </row>
    <row r="599" spans="2:2" x14ac:dyDescent="0.2">
      <c r="B599" s="1"/>
    </row>
    <row r="600" spans="2:2" x14ac:dyDescent="0.2">
      <c r="B600" s="1"/>
    </row>
    <row r="601" spans="2:2" x14ac:dyDescent="0.2">
      <c r="B601" s="1"/>
    </row>
    <row r="602" spans="2:2" x14ac:dyDescent="0.2">
      <c r="B602" s="1"/>
    </row>
    <row r="603" spans="2:2" x14ac:dyDescent="0.2">
      <c r="B603" s="1"/>
    </row>
    <row r="604" spans="2:2" x14ac:dyDescent="0.2">
      <c r="B604" s="1"/>
    </row>
    <row r="605" spans="2:2" x14ac:dyDescent="0.2">
      <c r="B605" s="1"/>
    </row>
    <row r="606" spans="2:2" x14ac:dyDescent="0.2">
      <c r="B606" s="1"/>
    </row>
    <row r="607" spans="2:2" x14ac:dyDescent="0.2">
      <c r="B607" s="1"/>
    </row>
    <row r="608" spans="2:2" x14ac:dyDescent="0.2">
      <c r="B608" s="1"/>
    </row>
    <row r="609" spans="2:2" x14ac:dyDescent="0.2">
      <c r="B609" s="1"/>
    </row>
    <row r="610" spans="2:2" x14ac:dyDescent="0.2">
      <c r="B610" s="1"/>
    </row>
    <row r="611" spans="2:2" x14ac:dyDescent="0.2">
      <c r="B611" s="1"/>
    </row>
    <row r="612" spans="2:2" x14ac:dyDescent="0.2">
      <c r="B612" s="1"/>
    </row>
    <row r="613" spans="2:2" x14ac:dyDescent="0.2">
      <c r="B613" s="1"/>
    </row>
    <row r="614" spans="2:2" x14ac:dyDescent="0.2">
      <c r="B614" s="1"/>
    </row>
    <row r="615" spans="2:2" x14ac:dyDescent="0.2">
      <c r="B615" s="1"/>
    </row>
    <row r="616" spans="2:2" x14ac:dyDescent="0.2">
      <c r="B616" s="1"/>
    </row>
    <row r="617" spans="2:2" x14ac:dyDescent="0.2">
      <c r="B617" s="1"/>
    </row>
    <row r="618" spans="2:2" x14ac:dyDescent="0.2">
      <c r="B618" s="1"/>
    </row>
    <row r="619" spans="2:2" x14ac:dyDescent="0.2">
      <c r="B619" s="1"/>
    </row>
    <row r="620" spans="2:2" x14ac:dyDescent="0.2">
      <c r="B620" s="1"/>
    </row>
    <row r="621" spans="2:2" x14ac:dyDescent="0.2">
      <c r="B621" s="1"/>
    </row>
    <row r="622" spans="2:2" x14ac:dyDescent="0.2">
      <c r="B622" s="1"/>
    </row>
    <row r="623" spans="2:2" x14ac:dyDescent="0.2">
      <c r="B623" s="1"/>
    </row>
    <row r="624" spans="2:2" x14ac:dyDescent="0.2">
      <c r="B624" s="1"/>
    </row>
    <row r="625" spans="2:2" x14ac:dyDescent="0.2">
      <c r="B625" s="1"/>
    </row>
    <row r="626" spans="2:2" x14ac:dyDescent="0.2">
      <c r="B626" s="1"/>
    </row>
    <row r="627" spans="2:2" x14ac:dyDescent="0.2">
      <c r="B627" s="1"/>
    </row>
    <row r="628" spans="2:2" x14ac:dyDescent="0.2">
      <c r="B628" s="1"/>
    </row>
    <row r="629" spans="2:2" x14ac:dyDescent="0.2">
      <c r="B629" s="1"/>
    </row>
    <row r="630" spans="2:2" x14ac:dyDescent="0.2">
      <c r="B630" s="1"/>
    </row>
    <row r="631" spans="2:2" x14ac:dyDescent="0.2">
      <c r="B631" s="1"/>
    </row>
    <row r="632" spans="2:2" x14ac:dyDescent="0.2">
      <c r="B632" s="1"/>
    </row>
    <row r="633" spans="2:2" x14ac:dyDescent="0.2">
      <c r="B633" s="1"/>
    </row>
    <row r="634" spans="2:2" x14ac:dyDescent="0.2">
      <c r="B634" s="1"/>
    </row>
    <row r="635" spans="2:2" x14ac:dyDescent="0.2">
      <c r="B635" s="1"/>
    </row>
    <row r="636" spans="2:2" x14ac:dyDescent="0.2">
      <c r="B636" s="1"/>
    </row>
    <row r="637" spans="2:2" x14ac:dyDescent="0.2">
      <c r="B637" s="1"/>
    </row>
    <row r="638" spans="2:2" x14ac:dyDescent="0.2">
      <c r="B638" s="1"/>
    </row>
    <row r="639" spans="2:2" x14ac:dyDescent="0.2">
      <c r="B639" s="1"/>
    </row>
    <row r="640" spans="2:2" x14ac:dyDescent="0.2">
      <c r="B640" s="1"/>
    </row>
    <row r="641" spans="2:2" x14ac:dyDescent="0.2">
      <c r="B641" s="1"/>
    </row>
    <row r="642" spans="2:2" x14ac:dyDescent="0.2">
      <c r="B642" s="1"/>
    </row>
    <row r="643" spans="2:2" x14ac:dyDescent="0.2">
      <c r="B643" s="1"/>
    </row>
    <row r="644" spans="2:2" x14ac:dyDescent="0.2">
      <c r="B644" s="1"/>
    </row>
    <row r="645" spans="2:2" x14ac:dyDescent="0.2">
      <c r="B645" s="1"/>
    </row>
    <row r="646" spans="2:2" x14ac:dyDescent="0.2">
      <c r="B646" s="1"/>
    </row>
    <row r="647" spans="2:2" x14ac:dyDescent="0.2">
      <c r="B647" s="1"/>
    </row>
    <row r="648" spans="2:2" x14ac:dyDescent="0.2">
      <c r="B648" s="1"/>
    </row>
    <row r="649" spans="2:2" x14ac:dyDescent="0.2">
      <c r="B649" s="1"/>
    </row>
    <row r="650" spans="2:2" x14ac:dyDescent="0.2">
      <c r="B650" s="1"/>
    </row>
    <row r="651" spans="2:2" x14ac:dyDescent="0.2">
      <c r="B651" s="1"/>
    </row>
    <row r="652" spans="2:2" x14ac:dyDescent="0.2">
      <c r="B652" s="1"/>
    </row>
    <row r="653" spans="2:2" x14ac:dyDescent="0.2">
      <c r="B653" s="1"/>
    </row>
    <row r="654" spans="2:2" x14ac:dyDescent="0.2">
      <c r="B654" s="1"/>
    </row>
    <row r="655" spans="2:2" x14ac:dyDescent="0.2">
      <c r="B655" s="1"/>
    </row>
    <row r="656" spans="2:2" x14ac:dyDescent="0.2">
      <c r="B656" s="1"/>
    </row>
    <row r="657" spans="2:2" x14ac:dyDescent="0.2">
      <c r="B657" s="1"/>
    </row>
    <row r="658" spans="2:2" x14ac:dyDescent="0.2">
      <c r="B658" s="1"/>
    </row>
    <row r="659" spans="2:2" x14ac:dyDescent="0.2">
      <c r="B659" s="1"/>
    </row>
    <row r="660" spans="2:2" x14ac:dyDescent="0.2">
      <c r="B660" s="1"/>
    </row>
    <row r="661" spans="2:2" x14ac:dyDescent="0.2">
      <c r="B661" s="1"/>
    </row>
    <row r="662" spans="2:2" x14ac:dyDescent="0.2">
      <c r="B662" s="1"/>
    </row>
    <row r="663" spans="2:2" x14ac:dyDescent="0.2">
      <c r="B663" s="1"/>
    </row>
    <row r="664" spans="2:2" x14ac:dyDescent="0.2">
      <c r="B664" s="1"/>
    </row>
    <row r="665" spans="2:2" x14ac:dyDescent="0.2">
      <c r="B665" s="1"/>
    </row>
    <row r="666" spans="2:2" x14ac:dyDescent="0.2">
      <c r="B666" s="1"/>
    </row>
    <row r="667" spans="2:2" x14ac:dyDescent="0.2">
      <c r="B667" s="1"/>
    </row>
    <row r="668" spans="2:2" x14ac:dyDescent="0.2">
      <c r="B668" s="1"/>
    </row>
    <row r="669" spans="2:2" x14ac:dyDescent="0.2">
      <c r="B669" s="1"/>
    </row>
    <row r="670" spans="2:2" x14ac:dyDescent="0.2">
      <c r="B670" s="1"/>
    </row>
    <row r="671" spans="2:2" x14ac:dyDescent="0.2">
      <c r="B671" s="1"/>
    </row>
    <row r="672" spans="2:2" x14ac:dyDescent="0.2">
      <c r="B672" s="1"/>
    </row>
    <row r="673" spans="2:2" x14ac:dyDescent="0.2">
      <c r="B673" s="1"/>
    </row>
    <row r="674" spans="2:2" x14ac:dyDescent="0.2">
      <c r="B674" s="1"/>
    </row>
    <row r="675" spans="2:2" x14ac:dyDescent="0.2">
      <c r="B675" s="1"/>
    </row>
    <row r="676" spans="2:2" x14ac:dyDescent="0.2">
      <c r="B676" s="1"/>
    </row>
    <row r="677" spans="2:2" x14ac:dyDescent="0.2">
      <c r="B677" s="1"/>
    </row>
    <row r="678" spans="2:2" x14ac:dyDescent="0.2">
      <c r="B678" s="1"/>
    </row>
    <row r="679" spans="2:2" x14ac:dyDescent="0.2">
      <c r="B679" s="1"/>
    </row>
    <row r="680" spans="2:2" x14ac:dyDescent="0.2">
      <c r="B680" s="1"/>
    </row>
    <row r="681" spans="2:2" x14ac:dyDescent="0.2">
      <c r="B681" s="1"/>
    </row>
    <row r="682" spans="2:2" x14ac:dyDescent="0.2">
      <c r="B682" s="1"/>
    </row>
    <row r="683" spans="2:2" x14ac:dyDescent="0.2">
      <c r="B683" s="1"/>
    </row>
    <row r="684" spans="2:2" x14ac:dyDescent="0.2">
      <c r="B684" s="1"/>
    </row>
    <row r="685" spans="2:2" x14ac:dyDescent="0.2">
      <c r="B685" s="1"/>
    </row>
    <row r="686" spans="2:2" x14ac:dyDescent="0.2">
      <c r="B686" s="1"/>
    </row>
    <row r="687" spans="2:2" x14ac:dyDescent="0.2">
      <c r="B687" s="1"/>
    </row>
    <row r="688" spans="2:2" x14ac:dyDescent="0.2">
      <c r="B688" s="1"/>
    </row>
    <row r="689" spans="2:2" x14ac:dyDescent="0.2">
      <c r="B689" s="1"/>
    </row>
    <row r="690" spans="2:2" x14ac:dyDescent="0.2">
      <c r="B690" s="1"/>
    </row>
    <row r="691" spans="2:2" x14ac:dyDescent="0.2">
      <c r="B691" s="1"/>
    </row>
    <row r="692" spans="2:2" x14ac:dyDescent="0.2">
      <c r="B692" s="1"/>
    </row>
    <row r="693" spans="2:2" x14ac:dyDescent="0.2">
      <c r="B693" s="1"/>
    </row>
    <row r="694" spans="2:2" x14ac:dyDescent="0.2">
      <c r="B694" s="1"/>
    </row>
    <row r="695" spans="2:2" x14ac:dyDescent="0.2">
      <c r="B695" s="1"/>
    </row>
    <row r="696" spans="2:2" x14ac:dyDescent="0.2">
      <c r="B696" s="1"/>
    </row>
    <row r="697" spans="2:2" x14ac:dyDescent="0.2">
      <c r="B697" s="1"/>
    </row>
    <row r="698" spans="2:2" x14ac:dyDescent="0.2">
      <c r="B698" s="1"/>
    </row>
    <row r="699" spans="2:2" x14ac:dyDescent="0.2">
      <c r="B699" s="1"/>
    </row>
    <row r="700" spans="2:2" x14ac:dyDescent="0.2">
      <c r="B700" s="1"/>
    </row>
    <row r="701" spans="2:2" x14ac:dyDescent="0.2">
      <c r="B701" s="1"/>
    </row>
    <row r="702" spans="2:2" x14ac:dyDescent="0.2">
      <c r="B702" s="1"/>
    </row>
    <row r="703" spans="2:2" x14ac:dyDescent="0.2">
      <c r="B703" s="1"/>
    </row>
    <row r="704" spans="2:2" x14ac:dyDescent="0.2">
      <c r="B704" s="1"/>
    </row>
    <row r="705" spans="2:2" x14ac:dyDescent="0.2">
      <c r="B705" s="1"/>
    </row>
    <row r="706" spans="2:2" x14ac:dyDescent="0.2">
      <c r="B706" s="1"/>
    </row>
    <row r="707" spans="2:2" x14ac:dyDescent="0.2">
      <c r="B707" s="1"/>
    </row>
    <row r="708" spans="2:2" x14ac:dyDescent="0.2">
      <c r="B708" s="1"/>
    </row>
    <row r="709" spans="2:2" x14ac:dyDescent="0.2">
      <c r="B709" s="1"/>
    </row>
    <row r="710" spans="2:2" x14ac:dyDescent="0.2">
      <c r="B710" s="1"/>
    </row>
    <row r="711" spans="2:2" x14ac:dyDescent="0.2">
      <c r="B711" s="1"/>
    </row>
    <row r="712" spans="2:2" x14ac:dyDescent="0.2">
      <c r="B712" s="1"/>
    </row>
    <row r="713" spans="2:2" x14ac:dyDescent="0.2">
      <c r="B713" s="1"/>
    </row>
    <row r="714" spans="2:2" x14ac:dyDescent="0.2">
      <c r="B714" s="1"/>
    </row>
    <row r="715" spans="2:2" x14ac:dyDescent="0.2">
      <c r="B715" s="1"/>
    </row>
    <row r="716" spans="2:2" x14ac:dyDescent="0.2">
      <c r="B716" s="1"/>
    </row>
    <row r="717" spans="2:2" x14ac:dyDescent="0.2">
      <c r="B717" s="1"/>
    </row>
    <row r="718" spans="2:2" x14ac:dyDescent="0.2">
      <c r="B718" s="1"/>
    </row>
    <row r="719" spans="2:2" x14ac:dyDescent="0.2">
      <c r="B719" s="1"/>
    </row>
    <row r="720" spans="2:2" x14ac:dyDescent="0.2">
      <c r="B720" s="1"/>
    </row>
    <row r="721" spans="2:2" x14ac:dyDescent="0.2">
      <c r="B721" s="1"/>
    </row>
    <row r="722" spans="2:2" x14ac:dyDescent="0.2">
      <c r="B722" s="1"/>
    </row>
    <row r="723" spans="2:2" x14ac:dyDescent="0.2">
      <c r="B723" s="1"/>
    </row>
    <row r="724" spans="2:2" x14ac:dyDescent="0.2">
      <c r="B724" s="1"/>
    </row>
    <row r="725" spans="2:2" x14ac:dyDescent="0.2">
      <c r="B725" s="1"/>
    </row>
    <row r="726" spans="2:2" x14ac:dyDescent="0.2">
      <c r="B726" s="1"/>
    </row>
    <row r="727" spans="2:2" x14ac:dyDescent="0.2">
      <c r="B727" s="1"/>
    </row>
    <row r="728" spans="2:2" x14ac:dyDescent="0.2">
      <c r="B728" s="1"/>
    </row>
    <row r="729" spans="2:2" x14ac:dyDescent="0.2">
      <c r="B729" s="1"/>
    </row>
    <row r="730" spans="2:2" x14ac:dyDescent="0.2">
      <c r="B730" s="1"/>
    </row>
    <row r="731" spans="2:2" x14ac:dyDescent="0.2">
      <c r="B731" s="1"/>
    </row>
    <row r="732" spans="2:2" x14ac:dyDescent="0.2">
      <c r="B732" s="1"/>
    </row>
    <row r="733" spans="2:2" x14ac:dyDescent="0.2">
      <c r="B733" s="1"/>
    </row>
    <row r="734" spans="2:2" x14ac:dyDescent="0.2">
      <c r="B734" s="1"/>
    </row>
    <row r="735" spans="2:2" x14ac:dyDescent="0.2">
      <c r="B735" s="1"/>
    </row>
    <row r="736" spans="2:2" x14ac:dyDescent="0.2">
      <c r="B736" s="1"/>
    </row>
    <row r="737" spans="2:2" x14ac:dyDescent="0.2">
      <c r="B737" s="1"/>
    </row>
    <row r="738" spans="2:2" x14ac:dyDescent="0.2">
      <c r="B738" s="1"/>
    </row>
    <row r="739" spans="2:2" x14ac:dyDescent="0.2">
      <c r="B739" s="1"/>
    </row>
    <row r="740" spans="2:2" x14ac:dyDescent="0.2">
      <c r="B740" s="1"/>
    </row>
    <row r="741" spans="2:2" x14ac:dyDescent="0.2">
      <c r="B741" s="1"/>
    </row>
    <row r="742" spans="2:2" x14ac:dyDescent="0.2">
      <c r="B742" s="1"/>
    </row>
    <row r="743" spans="2:2" x14ac:dyDescent="0.2">
      <c r="B743" s="1"/>
    </row>
    <row r="744" spans="2:2" x14ac:dyDescent="0.2">
      <c r="B744" s="1"/>
    </row>
    <row r="745" spans="2:2" x14ac:dyDescent="0.2">
      <c r="B745" s="1"/>
    </row>
    <row r="746" spans="2:2" x14ac:dyDescent="0.2">
      <c r="B746" s="1"/>
    </row>
    <row r="747" spans="2:2" x14ac:dyDescent="0.2">
      <c r="B747" s="1"/>
    </row>
    <row r="748" spans="2:2" x14ac:dyDescent="0.2">
      <c r="B748" s="1"/>
    </row>
    <row r="749" spans="2:2" x14ac:dyDescent="0.2">
      <c r="B749" s="1"/>
    </row>
    <row r="750" spans="2:2" x14ac:dyDescent="0.2">
      <c r="B750" s="1"/>
    </row>
    <row r="751" spans="2:2" x14ac:dyDescent="0.2">
      <c r="B751" s="1"/>
    </row>
    <row r="752" spans="2:2" x14ac:dyDescent="0.2">
      <c r="B752" s="1"/>
    </row>
    <row r="753" spans="2:2" x14ac:dyDescent="0.2">
      <c r="B753" s="1"/>
    </row>
    <row r="754" spans="2:2" x14ac:dyDescent="0.2">
      <c r="B754" s="1"/>
    </row>
    <row r="755" spans="2:2" x14ac:dyDescent="0.2">
      <c r="B755" s="1"/>
    </row>
    <row r="756" spans="2:2" x14ac:dyDescent="0.2">
      <c r="B756" s="1"/>
    </row>
    <row r="757" spans="2:2" x14ac:dyDescent="0.2">
      <c r="B757" s="1"/>
    </row>
    <row r="758" spans="2:2" x14ac:dyDescent="0.2">
      <c r="B758" s="1"/>
    </row>
    <row r="759" spans="2:2" x14ac:dyDescent="0.2">
      <c r="B759" s="1"/>
    </row>
    <row r="760" spans="2:2" x14ac:dyDescent="0.2">
      <c r="B760" s="1"/>
    </row>
    <row r="761" spans="2:2" x14ac:dyDescent="0.2">
      <c r="B761" s="1"/>
    </row>
    <row r="762" spans="2:2" x14ac:dyDescent="0.2">
      <c r="B762" s="1"/>
    </row>
    <row r="763" spans="2:2" x14ac:dyDescent="0.2">
      <c r="B763" s="1"/>
    </row>
    <row r="764" spans="2:2" x14ac:dyDescent="0.2">
      <c r="B764" s="1"/>
    </row>
    <row r="765" spans="2:2" x14ac:dyDescent="0.2">
      <c r="B765" s="1"/>
    </row>
    <row r="766" spans="2:2" x14ac:dyDescent="0.2">
      <c r="B766" s="1"/>
    </row>
    <row r="767" spans="2:2" x14ac:dyDescent="0.2">
      <c r="B767" s="1"/>
    </row>
    <row r="768" spans="2:2" x14ac:dyDescent="0.2">
      <c r="B768" s="1"/>
    </row>
    <row r="769" spans="2:2" x14ac:dyDescent="0.2">
      <c r="B769" s="1"/>
    </row>
    <row r="770" spans="2:2" x14ac:dyDescent="0.2">
      <c r="B770" s="1"/>
    </row>
    <row r="771" spans="2:2" x14ac:dyDescent="0.2">
      <c r="B771" s="1"/>
    </row>
    <row r="772" spans="2:2" x14ac:dyDescent="0.2">
      <c r="B772" s="1"/>
    </row>
    <row r="773" spans="2:2" x14ac:dyDescent="0.2">
      <c r="B773" s="1"/>
    </row>
    <row r="774" spans="2:2" x14ac:dyDescent="0.2">
      <c r="B774" s="1"/>
    </row>
    <row r="775" spans="2:2" x14ac:dyDescent="0.2">
      <c r="B775" s="1"/>
    </row>
    <row r="776" spans="2:2" x14ac:dyDescent="0.2">
      <c r="B776" s="1"/>
    </row>
    <row r="777" spans="2:2" x14ac:dyDescent="0.2">
      <c r="B777" s="1"/>
    </row>
    <row r="778" spans="2:2" x14ac:dyDescent="0.2">
      <c r="B778" s="1"/>
    </row>
    <row r="779" spans="2:2" x14ac:dyDescent="0.2">
      <c r="B779" s="1"/>
    </row>
    <row r="780" spans="2:2" x14ac:dyDescent="0.2">
      <c r="B780" s="1"/>
    </row>
    <row r="781" spans="2:2" x14ac:dyDescent="0.2">
      <c r="B781" s="1"/>
    </row>
    <row r="782" spans="2:2" x14ac:dyDescent="0.2">
      <c r="B782" s="1"/>
    </row>
    <row r="783" spans="2:2" x14ac:dyDescent="0.2">
      <c r="B783" s="1"/>
    </row>
    <row r="784" spans="2:2" x14ac:dyDescent="0.2">
      <c r="B784" s="1"/>
    </row>
    <row r="785" spans="2:2" x14ac:dyDescent="0.2">
      <c r="B785" s="1"/>
    </row>
    <row r="786" spans="2:2" x14ac:dyDescent="0.2">
      <c r="B786" s="1"/>
    </row>
    <row r="787" spans="2:2" x14ac:dyDescent="0.2">
      <c r="B787" s="1"/>
    </row>
    <row r="788" spans="2:2" x14ac:dyDescent="0.2">
      <c r="B788" s="1"/>
    </row>
    <row r="789" spans="2:2" x14ac:dyDescent="0.2">
      <c r="B789" s="1"/>
    </row>
    <row r="790" spans="2:2" x14ac:dyDescent="0.2">
      <c r="B790" s="1"/>
    </row>
    <row r="791" spans="2:2" x14ac:dyDescent="0.2">
      <c r="B791" s="1"/>
    </row>
    <row r="792" spans="2:2" x14ac:dyDescent="0.2">
      <c r="B792" s="1"/>
    </row>
    <row r="793" spans="2:2" x14ac:dyDescent="0.2">
      <c r="B793" s="1"/>
    </row>
    <row r="794" spans="2:2" x14ac:dyDescent="0.2">
      <c r="B794" s="1"/>
    </row>
    <row r="795" spans="2:2" x14ac:dyDescent="0.2">
      <c r="B795" s="1"/>
    </row>
    <row r="796" spans="2:2" x14ac:dyDescent="0.2">
      <c r="B796" s="1"/>
    </row>
    <row r="797" spans="2:2" x14ac:dyDescent="0.2">
      <c r="B797" s="1"/>
    </row>
    <row r="798" spans="2:2" x14ac:dyDescent="0.2">
      <c r="B798" s="1"/>
    </row>
    <row r="799" spans="2:2" x14ac:dyDescent="0.2">
      <c r="B799" s="1"/>
    </row>
    <row r="800" spans="2:2" x14ac:dyDescent="0.2">
      <c r="B800" s="1"/>
    </row>
    <row r="801" spans="2:2" x14ac:dyDescent="0.2">
      <c r="B801" s="1"/>
    </row>
    <row r="802" spans="2:2" x14ac:dyDescent="0.2">
      <c r="B802" s="1"/>
    </row>
    <row r="803" spans="2:2" x14ac:dyDescent="0.2">
      <c r="B803" s="1"/>
    </row>
    <row r="804" spans="2:2" x14ac:dyDescent="0.2">
      <c r="B804" s="1"/>
    </row>
    <row r="805" spans="2:2" x14ac:dyDescent="0.2">
      <c r="B805" s="1"/>
    </row>
    <row r="806" spans="2:2" x14ac:dyDescent="0.2">
      <c r="B806" s="1"/>
    </row>
    <row r="807" spans="2:2" x14ac:dyDescent="0.2">
      <c r="B807" s="1"/>
    </row>
    <row r="808" spans="2:2" x14ac:dyDescent="0.2">
      <c r="B808" s="1"/>
    </row>
    <row r="809" spans="2:2" x14ac:dyDescent="0.2">
      <c r="B809" s="1"/>
    </row>
    <row r="810" spans="2:2" x14ac:dyDescent="0.2">
      <c r="B810" s="1"/>
    </row>
    <row r="811" spans="2:2" x14ac:dyDescent="0.2">
      <c r="B811" s="1"/>
    </row>
    <row r="812" spans="2:2" x14ac:dyDescent="0.2">
      <c r="B812" s="1"/>
    </row>
    <row r="813" spans="2:2" x14ac:dyDescent="0.2">
      <c r="B813" s="1"/>
    </row>
    <row r="814" spans="2:2" x14ac:dyDescent="0.2">
      <c r="B814" s="1"/>
    </row>
    <row r="815" spans="2:2" x14ac:dyDescent="0.2">
      <c r="B815" s="1"/>
    </row>
    <row r="816" spans="2:2" x14ac:dyDescent="0.2">
      <c r="B816" s="1"/>
    </row>
    <row r="817" spans="2:2" x14ac:dyDescent="0.2">
      <c r="B817" s="1"/>
    </row>
    <row r="818" spans="2:2" x14ac:dyDescent="0.2">
      <c r="B818" s="1"/>
    </row>
    <row r="819" spans="2:2" x14ac:dyDescent="0.2">
      <c r="B819" s="1"/>
    </row>
    <row r="820" spans="2:2" x14ac:dyDescent="0.2">
      <c r="B820" s="1"/>
    </row>
    <row r="821" spans="2:2" x14ac:dyDescent="0.2">
      <c r="B821" s="1"/>
    </row>
    <row r="822" spans="2:2" x14ac:dyDescent="0.2">
      <c r="B822" s="1"/>
    </row>
    <row r="823" spans="2:2" x14ac:dyDescent="0.2">
      <c r="B823" s="1"/>
    </row>
    <row r="824" spans="2:2" x14ac:dyDescent="0.2">
      <c r="B824" s="1"/>
    </row>
    <row r="825" spans="2:2" x14ac:dyDescent="0.2">
      <c r="B825" s="1"/>
    </row>
    <row r="826" spans="2:2" x14ac:dyDescent="0.2">
      <c r="B826" s="1"/>
    </row>
    <row r="827" spans="2:2" x14ac:dyDescent="0.2">
      <c r="B827" s="1"/>
    </row>
    <row r="828" spans="2:2" x14ac:dyDescent="0.2">
      <c r="B828" s="1"/>
    </row>
    <row r="829" spans="2:2" x14ac:dyDescent="0.2">
      <c r="B829" s="1"/>
    </row>
    <row r="830" spans="2:2" x14ac:dyDescent="0.2">
      <c r="B830" s="1"/>
    </row>
    <row r="831" spans="2:2" x14ac:dyDescent="0.2">
      <c r="B831" s="1"/>
    </row>
    <row r="832" spans="2:2" x14ac:dyDescent="0.2">
      <c r="B832" s="1"/>
    </row>
    <row r="833" spans="2:2" x14ac:dyDescent="0.2">
      <c r="B833" s="1"/>
    </row>
    <row r="834" spans="2:2" x14ac:dyDescent="0.2">
      <c r="B834" s="1"/>
    </row>
    <row r="835" spans="2:2" x14ac:dyDescent="0.2">
      <c r="B835" s="1"/>
    </row>
    <row r="836" spans="2:2" x14ac:dyDescent="0.2">
      <c r="B836" s="1"/>
    </row>
    <row r="837" spans="2:2" x14ac:dyDescent="0.2">
      <c r="B837" s="1"/>
    </row>
    <row r="838" spans="2:2" x14ac:dyDescent="0.2">
      <c r="B838" s="1"/>
    </row>
    <row r="839" spans="2:2" x14ac:dyDescent="0.2">
      <c r="B839" s="1"/>
    </row>
    <row r="840" spans="2:2" x14ac:dyDescent="0.2">
      <c r="B840" s="1"/>
    </row>
    <row r="841" spans="2:2" x14ac:dyDescent="0.2">
      <c r="B841" s="1"/>
    </row>
    <row r="842" spans="2:2" x14ac:dyDescent="0.2">
      <c r="B842" s="1"/>
    </row>
    <row r="843" spans="2:2" x14ac:dyDescent="0.2">
      <c r="B843" s="1"/>
    </row>
    <row r="844" spans="2:2" x14ac:dyDescent="0.2">
      <c r="B844" s="1"/>
    </row>
    <row r="845" spans="2:2" x14ac:dyDescent="0.2">
      <c r="B845" s="1"/>
    </row>
    <row r="846" spans="2:2" x14ac:dyDescent="0.2">
      <c r="B846" s="1"/>
    </row>
    <row r="847" spans="2:2" x14ac:dyDescent="0.2">
      <c r="B847" s="1"/>
    </row>
    <row r="848" spans="2:2" x14ac:dyDescent="0.2">
      <c r="B848" s="1"/>
    </row>
    <row r="849" spans="2:2" x14ac:dyDescent="0.2">
      <c r="B849" s="1"/>
    </row>
    <row r="850" spans="2:2" x14ac:dyDescent="0.2">
      <c r="B850" s="1"/>
    </row>
    <row r="851" spans="2:2" x14ac:dyDescent="0.2">
      <c r="B851" s="1"/>
    </row>
    <row r="852" spans="2:2" x14ac:dyDescent="0.2">
      <c r="B852" s="1"/>
    </row>
    <row r="853" spans="2:2" x14ac:dyDescent="0.2">
      <c r="B853" s="1"/>
    </row>
    <row r="854" spans="2:2" x14ac:dyDescent="0.2">
      <c r="B854" s="1"/>
    </row>
    <row r="855" spans="2:2" x14ac:dyDescent="0.2">
      <c r="B855" s="1"/>
    </row>
    <row r="856" spans="2:2" x14ac:dyDescent="0.2">
      <c r="B856" s="1"/>
    </row>
    <row r="857" spans="2:2" x14ac:dyDescent="0.2">
      <c r="B857" s="1"/>
    </row>
    <row r="858" spans="2:2" x14ac:dyDescent="0.2">
      <c r="B858" s="1"/>
    </row>
    <row r="859" spans="2:2" x14ac:dyDescent="0.2">
      <c r="B859" s="1"/>
    </row>
    <row r="860" spans="2:2" x14ac:dyDescent="0.2">
      <c r="B860" s="1"/>
    </row>
    <row r="861" spans="2:2" x14ac:dyDescent="0.2">
      <c r="B861" s="1"/>
    </row>
    <row r="862" spans="2:2" x14ac:dyDescent="0.2">
      <c r="B862" s="1"/>
    </row>
    <row r="863" spans="2:2" x14ac:dyDescent="0.2">
      <c r="B863" s="1"/>
    </row>
    <row r="864" spans="2:2" x14ac:dyDescent="0.2">
      <c r="B864" s="1"/>
    </row>
    <row r="865" spans="2:2" x14ac:dyDescent="0.2">
      <c r="B865" s="1"/>
    </row>
    <row r="866" spans="2:2" x14ac:dyDescent="0.2">
      <c r="B866" s="1"/>
    </row>
    <row r="867" spans="2:2" x14ac:dyDescent="0.2">
      <c r="B867" s="1"/>
    </row>
    <row r="868" spans="2:2" x14ac:dyDescent="0.2">
      <c r="B868" s="1"/>
    </row>
    <row r="869" spans="2:2" x14ac:dyDescent="0.2">
      <c r="B869" s="1"/>
    </row>
    <row r="870" spans="2:2" x14ac:dyDescent="0.2">
      <c r="B870" s="1"/>
    </row>
    <row r="871" spans="2:2" x14ac:dyDescent="0.2">
      <c r="B871" s="1"/>
    </row>
    <row r="872" spans="2:2" x14ac:dyDescent="0.2">
      <c r="B872" s="1"/>
    </row>
    <row r="873" spans="2:2" x14ac:dyDescent="0.2">
      <c r="B873" s="1"/>
    </row>
    <row r="874" spans="2:2" x14ac:dyDescent="0.2">
      <c r="B874" s="1"/>
    </row>
    <row r="875" spans="2:2" x14ac:dyDescent="0.2">
      <c r="B875" s="1"/>
    </row>
    <row r="876" spans="2:2" x14ac:dyDescent="0.2">
      <c r="B876" s="1"/>
    </row>
    <row r="877" spans="2:2" x14ac:dyDescent="0.2">
      <c r="B877" s="1"/>
    </row>
    <row r="878" spans="2:2" x14ac:dyDescent="0.2">
      <c r="B878" s="1"/>
    </row>
    <row r="879" spans="2:2" x14ac:dyDescent="0.2">
      <c r="B879" s="1"/>
    </row>
    <row r="880" spans="2:2" x14ac:dyDescent="0.2">
      <c r="B880" s="1"/>
    </row>
    <row r="881" spans="2:2" x14ac:dyDescent="0.2">
      <c r="B881" s="1"/>
    </row>
    <row r="882" spans="2:2" x14ac:dyDescent="0.2">
      <c r="B882" s="1"/>
    </row>
    <row r="883" spans="2:2" x14ac:dyDescent="0.2">
      <c r="B883" s="1"/>
    </row>
    <row r="884" spans="2:2" x14ac:dyDescent="0.2">
      <c r="B884" s="1"/>
    </row>
    <row r="885" spans="2:2" x14ac:dyDescent="0.2">
      <c r="B885" s="1"/>
    </row>
    <row r="886" spans="2:2" x14ac:dyDescent="0.2">
      <c r="B886" s="1"/>
    </row>
    <row r="887" spans="2:2" x14ac:dyDescent="0.2">
      <c r="B887" s="1"/>
    </row>
    <row r="888" spans="2:2" x14ac:dyDescent="0.2">
      <c r="B888" s="1"/>
    </row>
    <row r="889" spans="2:2" x14ac:dyDescent="0.2">
      <c r="B889" s="1"/>
    </row>
    <row r="890" spans="2:2" x14ac:dyDescent="0.2">
      <c r="B890" s="1"/>
    </row>
    <row r="891" spans="2:2" x14ac:dyDescent="0.2">
      <c r="B891" s="1"/>
    </row>
    <row r="892" spans="2:2" x14ac:dyDescent="0.2">
      <c r="B892" s="1"/>
    </row>
    <row r="893" spans="2:2" x14ac:dyDescent="0.2">
      <c r="B893" s="1"/>
    </row>
    <row r="894" spans="2:2" x14ac:dyDescent="0.2">
      <c r="B894" s="1"/>
    </row>
    <row r="895" spans="2:2" x14ac:dyDescent="0.2">
      <c r="B895" s="1"/>
    </row>
    <row r="896" spans="2:2" x14ac:dyDescent="0.2">
      <c r="B896" s="1"/>
    </row>
    <row r="897" spans="2:2" x14ac:dyDescent="0.2">
      <c r="B897" s="1"/>
    </row>
    <row r="898" spans="2:2" x14ac:dyDescent="0.2">
      <c r="B898" s="1"/>
    </row>
    <row r="899" spans="2:2" x14ac:dyDescent="0.2">
      <c r="B899" s="1"/>
    </row>
    <row r="900" spans="2:2" x14ac:dyDescent="0.2">
      <c r="B900" s="1"/>
    </row>
    <row r="901" spans="2:2" x14ac:dyDescent="0.2">
      <c r="B901" s="1"/>
    </row>
    <row r="902" spans="2:2" x14ac:dyDescent="0.2">
      <c r="B902" s="1"/>
    </row>
    <row r="903" spans="2:2" x14ac:dyDescent="0.2">
      <c r="B903" s="1"/>
    </row>
    <row r="904" spans="2:2" x14ac:dyDescent="0.2">
      <c r="B904" s="1"/>
    </row>
    <row r="905" spans="2:2" x14ac:dyDescent="0.2">
      <c r="B905" s="1"/>
    </row>
    <row r="906" spans="2:2" x14ac:dyDescent="0.2">
      <c r="B906" s="1"/>
    </row>
    <row r="907" spans="2:2" x14ac:dyDescent="0.2">
      <c r="B907" s="1"/>
    </row>
    <row r="908" spans="2:2" x14ac:dyDescent="0.2">
      <c r="B908" s="1"/>
    </row>
    <row r="909" spans="2:2" x14ac:dyDescent="0.2">
      <c r="B909" s="1"/>
    </row>
    <row r="910" spans="2:2" x14ac:dyDescent="0.2">
      <c r="B910" s="1"/>
    </row>
    <row r="911" spans="2:2" x14ac:dyDescent="0.2">
      <c r="B911" s="1"/>
    </row>
    <row r="912" spans="2:2" x14ac:dyDescent="0.2">
      <c r="B912" s="1"/>
    </row>
    <row r="913" spans="2:2" x14ac:dyDescent="0.2">
      <c r="B913" s="1"/>
    </row>
    <row r="914" spans="2:2" x14ac:dyDescent="0.2">
      <c r="B914" s="1"/>
    </row>
    <row r="915" spans="2:2" x14ac:dyDescent="0.2">
      <c r="B915" s="1"/>
    </row>
    <row r="916" spans="2:2" x14ac:dyDescent="0.2">
      <c r="B916" s="1"/>
    </row>
    <row r="917" spans="2:2" x14ac:dyDescent="0.2">
      <c r="B917" s="1"/>
    </row>
    <row r="918" spans="2:2" x14ac:dyDescent="0.2">
      <c r="B918" s="1"/>
    </row>
    <row r="919" spans="2:2" x14ac:dyDescent="0.2">
      <c r="B919" s="1"/>
    </row>
    <row r="920" spans="2:2" x14ac:dyDescent="0.2">
      <c r="B920" s="1"/>
    </row>
    <row r="921" spans="2:2" x14ac:dyDescent="0.2">
      <c r="B921" s="1"/>
    </row>
    <row r="922" spans="2:2" x14ac:dyDescent="0.2">
      <c r="B922" s="1"/>
    </row>
    <row r="923" spans="2:2" x14ac:dyDescent="0.2">
      <c r="B923" s="1"/>
    </row>
    <row r="924" spans="2:2" x14ac:dyDescent="0.2">
      <c r="B924" s="1"/>
    </row>
    <row r="925" spans="2:2" x14ac:dyDescent="0.2">
      <c r="B925" s="1"/>
    </row>
    <row r="926" spans="2:2" x14ac:dyDescent="0.2">
      <c r="B926" s="1"/>
    </row>
    <row r="927" spans="2:2" x14ac:dyDescent="0.2">
      <c r="B927" s="1"/>
    </row>
    <row r="928" spans="2:2" x14ac:dyDescent="0.2">
      <c r="B928" s="1"/>
    </row>
    <row r="929" spans="2:2" x14ac:dyDescent="0.2">
      <c r="B929" s="1"/>
    </row>
    <row r="930" spans="2:2" x14ac:dyDescent="0.2">
      <c r="B930" s="1"/>
    </row>
    <row r="931" spans="2:2" x14ac:dyDescent="0.2">
      <c r="B931" s="1"/>
    </row>
    <row r="932" spans="2:2" x14ac:dyDescent="0.2">
      <c r="B932" s="1"/>
    </row>
    <row r="933" spans="2:2" x14ac:dyDescent="0.2">
      <c r="B933" s="1"/>
    </row>
    <row r="934" spans="2:2" x14ac:dyDescent="0.2">
      <c r="B934" s="1"/>
    </row>
    <row r="935" spans="2:2" x14ac:dyDescent="0.2">
      <c r="B935" s="1"/>
    </row>
    <row r="936" spans="2:2" x14ac:dyDescent="0.2">
      <c r="B936" s="1"/>
    </row>
    <row r="937" spans="2:2" x14ac:dyDescent="0.2">
      <c r="B937" s="1"/>
    </row>
    <row r="938" spans="2:2" x14ac:dyDescent="0.2">
      <c r="B938" s="1"/>
    </row>
    <row r="939" spans="2:2" x14ac:dyDescent="0.2">
      <c r="B939" s="1"/>
    </row>
    <row r="940" spans="2:2" x14ac:dyDescent="0.2">
      <c r="B940" s="1"/>
    </row>
    <row r="941" spans="2:2" x14ac:dyDescent="0.2">
      <c r="B941" s="1"/>
    </row>
    <row r="942" spans="2:2" x14ac:dyDescent="0.2">
      <c r="B942" s="1"/>
    </row>
    <row r="943" spans="2:2" x14ac:dyDescent="0.2">
      <c r="B943" s="1"/>
    </row>
    <row r="944" spans="2:2" x14ac:dyDescent="0.2">
      <c r="B944" s="1"/>
    </row>
    <row r="945" spans="2:2" x14ac:dyDescent="0.2">
      <c r="B945" s="1"/>
    </row>
    <row r="946" spans="2:2" x14ac:dyDescent="0.2">
      <c r="B946" s="1"/>
    </row>
    <row r="947" spans="2:2" x14ac:dyDescent="0.2">
      <c r="B947" s="1"/>
    </row>
    <row r="948" spans="2:2" x14ac:dyDescent="0.2">
      <c r="B948" s="1"/>
    </row>
    <row r="949" spans="2:2" x14ac:dyDescent="0.2">
      <c r="B949" s="1"/>
    </row>
    <row r="950" spans="2:2" x14ac:dyDescent="0.2">
      <c r="B950" s="1"/>
    </row>
    <row r="951" spans="2:2" x14ac:dyDescent="0.2">
      <c r="B951" s="1"/>
    </row>
    <row r="952" spans="2:2" x14ac:dyDescent="0.2">
      <c r="B952" s="1"/>
    </row>
    <row r="953" spans="2:2" x14ac:dyDescent="0.2">
      <c r="B953" s="1"/>
    </row>
    <row r="954" spans="2:2" x14ac:dyDescent="0.2">
      <c r="B954" s="1"/>
    </row>
    <row r="955" spans="2:2" x14ac:dyDescent="0.2">
      <c r="B955" s="1"/>
    </row>
    <row r="956" spans="2:2" x14ac:dyDescent="0.2">
      <c r="B956" s="1"/>
    </row>
    <row r="957" spans="2:2" x14ac:dyDescent="0.2">
      <c r="B957" s="1"/>
    </row>
    <row r="958" spans="2:2" x14ac:dyDescent="0.2">
      <c r="B958" s="1"/>
    </row>
    <row r="959" spans="2:2" x14ac:dyDescent="0.2">
      <c r="B959" s="1"/>
    </row>
    <row r="960" spans="2:2" x14ac:dyDescent="0.2">
      <c r="B960" s="1"/>
    </row>
    <row r="961" spans="2:2" x14ac:dyDescent="0.2">
      <c r="B961" s="1"/>
    </row>
    <row r="962" spans="2:2" x14ac:dyDescent="0.2">
      <c r="B962" s="1"/>
    </row>
    <row r="963" spans="2:2" x14ac:dyDescent="0.2">
      <c r="B963" s="1"/>
    </row>
    <row r="964" spans="2:2" x14ac:dyDescent="0.2">
      <c r="B964" s="1"/>
    </row>
    <row r="965" spans="2:2" x14ac:dyDescent="0.2">
      <c r="B965" s="1"/>
    </row>
    <row r="966" spans="2:2" x14ac:dyDescent="0.2">
      <c r="B966" s="1"/>
    </row>
    <row r="967" spans="2:2" x14ac:dyDescent="0.2">
      <c r="B967" s="1"/>
    </row>
    <row r="968" spans="2:2" x14ac:dyDescent="0.2">
      <c r="B968" s="1"/>
    </row>
    <row r="969" spans="2:2" x14ac:dyDescent="0.2">
      <c r="B969" s="1"/>
    </row>
    <row r="970" spans="2:2" x14ac:dyDescent="0.2">
      <c r="B970" s="1"/>
    </row>
    <row r="971" spans="2:2" x14ac:dyDescent="0.2">
      <c r="B971" s="1"/>
    </row>
    <row r="972" spans="2:2" x14ac:dyDescent="0.2">
      <c r="B972" s="1"/>
    </row>
    <row r="973" spans="2:2" x14ac:dyDescent="0.2">
      <c r="B973" s="1"/>
    </row>
    <row r="974" spans="2:2" x14ac:dyDescent="0.2">
      <c r="B974" s="1"/>
    </row>
    <row r="975" spans="2:2" x14ac:dyDescent="0.2">
      <c r="B975" s="1"/>
    </row>
    <row r="976" spans="2:2" x14ac:dyDescent="0.2">
      <c r="B976" s="1"/>
    </row>
    <row r="977" spans="2:2" x14ac:dyDescent="0.2">
      <c r="B977" s="1"/>
    </row>
    <row r="978" spans="2:2" x14ac:dyDescent="0.2">
      <c r="B978" s="1"/>
    </row>
    <row r="979" spans="2:2" x14ac:dyDescent="0.2">
      <c r="B979" s="1"/>
    </row>
    <row r="980" spans="2:2" x14ac:dyDescent="0.2">
      <c r="B980" s="1"/>
    </row>
    <row r="981" spans="2:2" x14ac:dyDescent="0.2">
      <c r="B981" s="1"/>
    </row>
    <row r="982" spans="2:2" x14ac:dyDescent="0.2">
      <c r="B982" s="1"/>
    </row>
    <row r="983" spans="2:2" x14ac:dyDescent="0.2">
      <c r="B983" s="1"/>
    </row>
    <row r="984" spans="2:2" x14ac:dyDescent="0.2">
      <c r="B984" s="1"/>
    </row>
    <row r="985" spans="2:2" x14ac:dyDescent="0.2">
      <c r="B985" s="1"/>
    </row>
    <row r="986" spans="2:2" x14ac:dyDescent="0.2">
      <c r="B986" s="1"/>
    </row>
    <row r="987" spans="2:2" x14ac:dyDescent="0.2">
      <c r="B987" s="1"/>
    </row>
    <row r="988" spans="2:2" x14ac:dyDescent="0.2">
      <c r="B988" s="1"/>
    </row>
    <row r="989" spans="2:2" x14ac:dyDescent="0.2">
      <c r="B989" s="1"/>
    </row>
    <row r="990" spans="2:2" x14ac:dyDescent="0.2">
      <c r="B990" s="1"/>
    </row>
    <row r="991" spans="2:2" x14ac:dyDescent="0.2">
      <c r="B991" s="1"/>
    </row>
  </sheetData>
  <dataValidations count="1">
    <dataValidation type="custom" allowBlank="1" showDropDown="1" sqref="K16:K18 O16:O17 Q16:Q17 M16:M17 E17:I18 E16:F16 H16:I16 S16:S17" xr:uid="{0BEB2980-B6F7-4907-B040-4295CFFE57BD}">
      <formula1>AND(ISNUMBER(E16),(NOT(OR(NOT(ISERROR(DATEVALUE(E16))), AND(ISNUMBER(E16), LEFT(CELL("format", E16))="D")))))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C3F5B-823F-4F37-A30E-0A60D39DF3AC}">
  <sheetPr>
    <tabColor theme="9" tint="0.79998168889431442"/>
    <outlinePr summaryBelow="0" summaryRight="0"/>
  </sheetPr>
  <dimension ref="A1:AN992"/>
  <sheetViews>
    <sheetView workbookViewId="0">
      <pane xSplit="1" topLeftCell="D1" activePane="topRight" state="frozen"/>
      <selection pane="topRight" activeCell="M25" sqref="M25"/>
    </sheetView>
  </sheetViews>
  <sheetFormatPr baseColWidth="10" defaultColWidth="12.5703125" defaultRowHeight="12.75" x14ac:dyDescent="0.2"/>
  <cols>
    <col min="1" max="1" width="20.42578125" customWidth="1"/>
    <col min="2" max="2" width="9.42578125" customWidth="1"/>
    <col min="3" max="3" width="2.42578125" customWidth="1"/>
    <col min="4" max="4" width="15.5703125" style="5" customWidth="1"/>
    <col min="5" max="8" width="13" style="5" hidden="1" customWidth="1"/>
    <col min="9" max="9" width="11.28515625" style="5" customWidth="1"/>
    <col min="10" max="10" width="13.140625" style="5" bestFit="1" customWidth="1"/>
    <col min="11" max="11" width="12.7109375" bestFit="1" customWidth="1"/>
    <col min="12" max="22" width="13" bestFit="1" customWidth="1"/>
    <col min="23" max="27" width="12.7109375" bestFit="1" customWidth="1"/>
    <col min="28" max="28" width="14" bestFit="1" customWidth="1"/>
    <col min="29" max="33" width="12.7109375" bestFit="1" customWidth="1"/>
    <col min="34" max="34" width="13.85546875" bestFit="1" customWidth="1"/>
    <col min="35" max="36" width="12.7109375" bestFit="1" customWidth="1"/>
    <col min="40" max="40" width="13" bestFit="1" customWidth="1"/>
  </cols>
  <sheetData>
    <row r="1" spans="1:40" x14ac:dyDescent="0.2">
      <c r="B1" s="1"/>
    </row>
    <row r="2" spans="1:40" s="8" customFormat="1" ht="15" customHeight="1" x14ac:dyDescent="0.2">
      <c r="B2" s="3"/>
      <c r="D2" s="6"/>
      <c r="E2" s="6" t="s">
        <v>0</v>
      </c>
      <c r="F2" s="6" t="s">
        <v>1</v>
      </c>
      <c r="G2" s="6" t="s">
        <v>2</v>
      </c>
      <c r="H2" s="6" t="s">
        <v>3</v>
      </c>
      <c r="I2" s="25" t="s">
        <v>4</v>
      </c>
      <c r="J2" s="25" t="s">
        <v>5</v>
      </c>
      <c r="K2" s="26" t="s">
        <v>6</v>
      </c>
      <c r="L2" s="26" t="s">
        <v>7</v>
      </c>
      <c r="M2" s="10" t="s">
        <v>8</v>
      </c>
      <c r="N2" s="10" t="s">
        <v>9</v>
      </c>
      <c r="O2" s="10" t="s">
        <v>10</v>
      </c>
      <c r="P2" s="10" t="s">
        <v>11</v>
      </c>
      <c r="Q2" s="10" t="s">
        <v>12</v>
      </c>
      <c r="R2" s="10" t="s">
        <v>13</v>
      </c>
      <c r="S2" s="50" t="s">
        <v>69</v>
      </c>
      <c r="T2" s="51">
        <v>46052</v>
      </c>
      <c r="U2" s="51">
        <v>46068</v>
      </c>
      <c r="V2" s="51">
        <v>46081</v>
      </c>
      <c r="W2" s="51">
        <v>46096</v>
      </c>
      <c r="X2" s="51">
        <v>46109</v>
      </c>
      <c r="Y2" s="51">
        <v>46127</v>
      </c>
      <c r="Z2" s="51">
        <v>46140</v>
      </c>
      <c r="AA2" s="51">
        <v>46157</v>
      </c>
      <c r="AB2" s="51">
        <v>46170</v>
      </c>
      <c r="AC2" s="51">
        <v>46188</v>
      </c>
      <c r="AD2" s="51">
        <v>46203</v>
      </c>
      <c r="AE2" s="51">
        <v>46249</v>
      </c>
      <c r="AF2" s="51">
        <v>46264</v>
      </c>
      <c r="AG2" s="51">
        <v>46280</v>
      </c>
      <c r="AH2" s="51">
        <v>46295</v>
      </c>
      <c r="AI2" s="51">
        <v>46310</v>
      </c>
      <c r="AJ2" s="51">
        <v>46325</v>
      </c>
      <c r="AK2" s="51">
        <v>46341</v>
      </c>
      <c r="AL2" s="51">
        <v>46356</v>
      </c>
      <c r="AM2" s="51">
        <v>46371</v>
      </c>
      <c r="AN2" s="51">
        <v>46386</v>
      </c>
    </row>
    <row r="3" spans="1:40" ht="16.5" customHeight="1" x14ac:dyDescent="0.2">
      <c r="B3" s="1"/>
      <c r="D3" s="5" t="s">
        <v>14</v>
      </c>
      <c r="E3" s="5">
        <v>1300000</v>
      </c>
      <c r="F3" s="5">
        <f>875000+875000</f>
        <v>1750000</v>
      </c>
      <c r="G3" s="21">
        <f>875000+1041000+200000</f>
        <v>2116000</v>
      </c>
      <c r="H3" s="5">
        <f>875000+1200000+100000+300000</f>
        <v>2475000</v>
      </c>
      <c r="I3" s="27">
        <f>875000+1300000+1200000</f>
        <v>3375000</v>
      </c>
      <c r="J3" s="27">
        <f>1500000+875000+787000+260000+450000</f>
        <v>3872000</v>
      </c>
      <c r="K3" s="27">
        <f>1500000</f>
        <v>1500000</v>
      </c>
      <c r="L3" s="27">
        <f>1500000+525000+450000</f>
        <v>2475000</v>
      </c>
      <c r="M3" s="5">
        <f>1500000</f>
        <v>1500000</v>
      </c>
      <c r="N3" s="5">
        <f>1500000+260000</f>
        <v>1760000</v>
      </c>
      <c r="O3" s="5">
        <f>1500000</f>
        <v>1500000</v>
      </c>
      <c r="P3" s="5">
        <f>1500000</f>
        <v>1500000</v>
      </c>
      <c r="Q3" s="5">
        <f>1500000+1000000</f>
        <v>2500000</v>
      </c>
      <c r="R3" s="5">
        <f>1500000</f>
        <v>1500000</v>
      </c>
      <c r="S3" s="5">
        <v>1500000</v>
      </c>
      <c r="T3" s="5">
        <v>1500000</v>
      </c>
      <c r="U3" s="5">
        <v>1500000</v>
      </c>
      <c r="V3" s="5">
        <v>1500000</v>
      </c>
      <c r="W3" s="14">
        <v>1500000</v>
      </c>
      <c r="X3" s="5">
        <v>1500000</v>
      </c>
      <c r="Y3" s="5">
        <v>1500000</v>
      </c>
      <c r="Z3" s="5">
        <v>1500000</v>
      </c>
      <c r="AA3" s="5">
        <v>1500000</v>
      </c>
      <c r="AB3" s="5">
        <v>1500000</v>
      </c>
      <c r="AC3" s="5">
        <v>1500000</v>
      </c>
      <c r="AD3" s="5">
        <v>1500000</v>
      </c>
      <c r="AE3" s="5">
        <v>1500000</v>
      </c>
      <c r="AF3" s="5">
        <v>1500000</v>
      </c>
      <c r="AG3" s="5">
        <v>1500000</v>
      </c>
      <c r="AH3" s="5">
        <v>1500000</v>
      </c>
      <c r="AI3" s="5">
        <v>1500000</v>
      </c>
      <c r="AJ3" s="5">
        <v>1500000</v>
      </c>
      <c r="AK3" s="5">
        <v>1500000</v>
      </c>
      <c r="AL3" s="5">
        <v>1500000</v>
      </c>
      <c r="AM3" s="5">
        <v>1500000</v>
      </c>
      <c r="AN3" s="5">
        <v>1500000</v>
      </c>
    </row>
    <row r="4" spans="1:40" s="5" customFormat="1" ht="15" customHeight="1" x14ac:dyDescent="0.2">
      <c r="A4" s="9" t="s">
        <v>15</v>
      </c>
      <c r="B4" s="9"/>
      <c r="D4" s="5" t="s">
        <v>16</v>
      </c>
      <c r="I4" s="27"/>
      <c r="J4" s="27"/>
      <c r="K4" s="27"/>
      <c r="L4" s="27"/>
      <c r="W4" s="14"/>
    </row>
    <row r="5" spans="1:40" s="5" customFormat="1" ht="15" customHeight="1" x14ac:dyDescent="0.2">
      <c r="A5" s="9" t="s">
        <v>79</v>
      </c>
      <c r="B5" s="9">
        <v>90000</v>
      </c>
      <c r="E5" s="5">
        <v>90000</v>
      </c>
      <c r="F5" s="5">
        <v>90000</v>
      </c>
      <c r="I5" s="27">
        <v>90000</v>
      </c>
      <c r="J5" s="27">
        <v>90000</v>
      </c>
      <c r="K5" s="27"/>
      <c r="L5" s="27"/>
      <c r="M5" s="5">
        <v>266000</v>
      </c>
      <c r="O5" s="5">
        <v>266000</v>
      </c>
      <c r="Q5" s="5">
        <v>266000</v>
      </c>
      <c r="S5" s="5">
        <v>266000</v>
      </c>
      <c r="U5" s="5">
        <v>266000</v>
      </c>
      <c r="W5" s="14">
        <v>266000</v>
      </c>
      <c r="Y5" s="5">
        <v>266000</v>
      </c>
      <c r="AA5" s="5">
        <v>266000</v>
      </c>
      <c r="AC5" s="5">
        <v>266000</v>
      </c>
    </row>
    <row r="6" spans="1:40" s="5" customFormat="1" ht="15" customHeight="1" x14ac:dyDescent="0.2">
      <c r="A6" s="9" t="s">
        <v>18</v>
      </c>
      <c r="B6" s="9">
        <v>40000</v>
      </c>
      <c r="E6" s="5">
        <v>40000</v>
      </c>
      <c r="G6" s="22">
        <v>40000</v>
      </c>
      <c r="I6" s="27">
        <v>40000</v>
      </c>
      <c r="J6" s="27"/>
      <c r="K6" s="27">
        <v>40000</v>
      </c>
      <c r="L6" s="27"/>
      <c r="M6" s="5">
        <v>40000</v>
      </c>
      <c r="O6" s="5">
        <v>40000</v>
      </c>
      <c r="Q6" s="5">
        <v>40000</v>
      </c>
      <c r="S6" s="5">
        <v>40000</v>
      </c>
      <c r="U6" s="5">
        <v>40000</v>
      </c>
      <c r="W6" s="14">
        <v>40000</v>
      </c>
      <c r="Y6" s="5">
        <v>40000</v>
      </c>
      <c r="AA6" s="5">
        <v>40000</v>
      </c>
      <c r="AC6" s="5">
        <v>40000</v>
      </c>
    </row>
    <row r="7" spans="1:40" s="5" customFormat="1" ht="15" customHeight="1" x14ac:dyDescent="0.2">
      <c r="A7" s="9" t="s">
        <v>19</v>
      </c>
      <c r="B7" s="9">
        <v>142000</v>
      </c>
      <c r="E7" s="5">
        <v>142000</v>
      </c>
      <c r="G7" s="22">
        <v>142000</v>
      </c>
      <c r="I7" s="27">
        <v>142000</v>
      </c>
      <c r="J7" s="27"/>
      <c r="K7" s="27">
        <v>142000</v>
      </c>
      <c r="L7" s="27"/>
      <c r="M7" s="5">
        <v>142000</v>
      </c>
      <c r="O7" s="5">
        <v>142000</v>
      </c>
      <c r="Q7" s="5">
        <v>142000</v>
      </c>
      <c r="S7" s="5">
        <v>142000</v>
      </c>
      <c r="U7" s="5">
        <v>142000</v>
      </c>
      <c r="W7" s="14">
        <v>142000</v>
      </c>
      <c r="Y7" s="5">
        <v>900000</v>
      </c>
    </row>
    <row r="8" spans="1:40" s="5" customFormat="1" ht="15" customHeight="1" x14ac:dyDescent="0.2">
      <c r="A8" s="9" t="s">
        <v>20</v>
      </c>
      <c r="B8" s="9">
        <v>45000</v>
      </c>
      <c r="D8" s="5">
        <v>343600</v>
      </c>
      <c r="I8" s="27"/>
      <c r="J8" s="27">
        <v>94600</v>
      </c>
      <c r="K8" s="27">
        <v>97800</v>
      </c>
      <c r="L8" s="27">
        <v>97800</v>
      </c>
      <c r="M8" s="5">
        <v>97800</v>
      </c>
      <c r="N8" s="5">
        <v>97800</v>
      </c>
      <c r="O8" s="5">
        <v>97800</v>
      </c>
      <c r="P8" s="5">
        <v>45000</v>
      </c>
      <c r="R8" s="5">
        <v>45000</v>
      </c>
      <c r="T8" s="5">
        <v>45000</v>
      </c>
      <c r="V8" s="5">
        <v>45000</v>
      </c>
      <c r="W8" s="14"/>
      <c r="X8" s="5">
        <v>45000</v>
      </c>
      <c r="Z8" s="5">
        <v>45000</v>
      </c>
      <c r="AB8" s="5">
        <v>45000</v>
      </c>
      <c r="AD8" s="5">
        <v>45000</v>
      </c>
    </row>
    <row r="9" spans="1:40" s="5" customFormat="1" ht="15" customHeight="1" x14ac:dyDescent="0.2">
      <c r="A9" s="9" t="s">
        <v>21</v>
      </c>
      <c r="B9" s="9">
        <v>230000</v>
      </c>
      <c r="D9" s="5">
        <f>1396000+229000</f>
        <v>1625000</v>
      </c>
      <c r="I9" s="27"/>
      <c r="J9" s="27">
        <v>300000</v>
      </c>
      <c r="K9" s="27"/>
      <c r="L9" s="27">
        <v>300000</v>
      </c>
      <c r="N9" s="5">
        <v>300000</v>
      </c>
      <c r="P9" s="5">
        <v>300000</v>
      </c>
      <c r="R9" s="5">
        <v>300000</v>
      </c>
      <c r="T9" s="5">
        <v>300000</v>
      </c>
      <c r="W9" s="14"/>
    </row>
    <row r="10" spans="1:40" s="5" customFormat="1" ht="15" customHeight="1" x14ac:dyDescent="0.2">
      <c r="A10" s="9" t="s">
        <v>22</v>
      </c>
      <c r="B10" s="9">
        <v>760000</v>
      </c>
      <c r="H10" s="22">
        <v>760000</v>
      </c>
      <c r="I10" s="27"/>
      <c r="J10" s="27">
        <v>760000</v>
      </c>
      <c r="K10" s="27"/>
      <c r="L10" s="27">
        <v>760000</v>
      </c>
      <c r="N10" s="5">
        <v>760000</v>
      </c>
      <c r="P10" s="5">
        <v>760000</v>
      </c>
      <c r="R10" s="5">
        <v>760000</v>
      </c>
      <c r="T10" s="5">
        <v>760000</v>
      </c>
      <c r="V10" s="5">
        <v>760000</v>
      </c>
      <c r="W10" s="14"/>
      <c r="X10" s="5">
        <v>760000</v>
      </c>
      <c r="Z10" s="5">
        <v>760000</v>
      </c>
      <c r="AB10" s="5">
        <v>760000</v>
      </c>
      <c r="AD10" s="5">
        <v>760000</v>
      </c>
    </row>
    <row r="11" spans="1:40" s="5" customFormat="1" ht="15" customHeight="1" x14ac:dyDescent="0.2">
      <c r="A11" s="9" t="s">
        <v>23</v>
      </c>
      <c r="B11" s="9"/>
      <c r="E11" s="5">
        <v>180000</v>
      </c>
      <c r="F11" s="5">
        <v>63000</v>
      </c>
      <c r="G11" s="5">
        <v>15000</v>
      </c>
      <c r="I11" s="27">
        <f>650000+50000</f>
        <v>700000</v>
      </c>
      <c r="J11" s="27">
        <v>20000</v>
      </c>
      <c r="K11" s="27">
        <v>500000</v>
      </c>
      <c r="L11" s="27">
        <v>20000</v>
      </c>
      <c r="M11" s="5">
        <v>0</v>
      </c>
      <c r="W11" s="14"/>
    </row>
    <row r="12" spans="1:40" s="5" customFormat="1" ht="15" customHeight="1" x14ac:dyDescent="0.2">
      <c r="A12" s="9" t="s">
        <v>24</v>
      </c>
      <c r="B12" s="9"/>
      <c r="G12" s="20" t="s">
        <v>25</v>
      </c>
      <c r="I12" s="27">
        <v>400000</v>
      </c>
      <c r="J12" s="27"/>
      <c r="K12" s="27"/>
      <c r="L12" s="27"/>
      <c r="O12" s="5">
        <v>400000</v>
      </c>
      <c r="Q12" s="5">
        <v>400000</v>
      </c>
      <c r="S12" s="5">
        <v>400000</v>
      </c>
      <c r="U12" s="5">
        <v>400000</v>
      </c>
      <c r="W12" s="14">
        <v>400000</v>
      </c>
      <c r="Y12" s="5">
        <v>400000</v>
      </c>
      <c r="AA12" s="5">
        <v>400000</v>
      </c>
      <c r="AC12" s="5">
        <v>400000</v>
      </c>
    </row>
    <row r="13" spans="1:40" s="5" customFormat="1" ht="15" customHeight="1" x14ac:dyDescent="0.2">
      <c r="A13" s="9" t="s">
        <v>26</v>
      </c>
      <c r="B13" s="9">
        <v>250000</v>
      </c>
      <c r="E13" s="5">
        <v>250000</v>
      </c>
      <c r="F13" s="5">
        <v>250000</v>
      </c>
      <c r="G13" s="22">
        <v>400000</v>
      </c>
      <c r="H13" s="22">
        <v>250000</v>
      </c>
      <c r="I13" s="27">
        <v>400000</v>
      </c>
      <c r="J13" s="27">
        <v>250000</v>
      </c>
      <c r="K13" s="27">
        <v>400000</v>
      </c>
      <c r="L13" s="27">
        <v>250000</v>
      </c>
      <c r="N13" s="5">
        <v>250000</v>
      </c>
      <c r="P13" s="5">
        <v>250000</v>
      </c>
      <c r="R13" s="5">
        <v>250000</v>
      </c>
      <c r="T13" s="5">
        <v>250000</v>
      </c>
      <c r="V13" s="5">
        <v>250000</v>
      </c>
      <c r="W13" s="14"/>
      <c r="X13" s="5">
        <v>250000</v>
      </c>
      <c r="Z13" s="5">
        <v>250000</v>
      </c>
      <c r="AB13" s="5">
        <v>250000</v>
      </c>
      <c r="AD13" s="5">
        <v>250000</v>
      </c>
    </row>
    <row r="14" spans="1:40" s="5" customFormat="1" ht="15" customHeight="1" x14ac:dyDescent="0.2">
      <c r="A14" s="9" t="s">
        <v>27</v>
      </c>
      <c r="B14" s="9">
        <v>30000</v>
      </c>
      <c r="E14" s="5">
        <v>50000</v>
      </c>
      <c r="G14" s="22">
        <v>50000</v>
      </c>
      <c r="I14" s="27">
        <v>50000</v>
      </c>
      <c r="J14" s="27"/>
      <c r="K14" s="27">
        <v>50000</v>
      </c>
      <c r="L14" s="27"/>
      <c r="M14" s="5">
        <v>50000</v>
      </c>
      <c r="O14" s="5">
        <v>50000</v>
      </c>
      <c r="Q14" s="5">
        <v>50000</v>
      </c>
      <c r="S14" s="5">
        <v>50000</v>
      </c>
      <c r="U14" s="5">
        <v>50000</v>
      </c>
      <c r="W14" s="14">
        <v>50000</v>
      </c>
      <c r="Y14" s="5">
        <v>50000</v>
      </c>
      <c r="AA14" s="5">
        <v>50000</v>
      </c>
      <c r="AC14" s="5">
        <v>50000</v>
      </c>
    </row>
    <row r="15" spans="1:40" s="5" customFormat="1" ht="15" customHeight="1" x14ac:dyDescent="0.2">
      <c r="A15" s="9" t="s">
        <v>28</v>
      </c>
      <c r="B15" s="43"/>
      <c r="E15" s="5">
        <v>125000</v>
      </c>
      <c r="F15" s="5">
        <v>125000</v>
      </c>
      <c r="G15" s="22">
        <v>125000</v>
      </c>
      <c r="H15" s="5">
        <v>125000</v>
      </c>
      <c r="I15" s="27"/>
      <c r="J15" s="27"/>
      <c r="K15" s="27"/>
      <c r="L15" s="27"/>
      <c r="W15" s="14"/>
    </row>
    <row r="16" spans="1:40" s="5" customFormat="1" ht="15" customHeight="1" x14ac:dyDescent="0.2">
      <c r="A16" s="9" t="s">
        <v>29</v>
      </c>
      <c r="B16" s="9"/>
      <c r="H16" s="22">
        <v>275000</v>
      </c>
      <c r="I16" s="27"/>
      <c r="J16" s="27">
        <v>330000</v>
      </c>
      <c r="K16" s="27"/>
      <c r="L16" s="27">
        <v>330000</v>
      </c>
      <c r="N16" s="5">
        <v>330000</v>
      </c>
      <c r="P16" s="5">
        <v>330000</v>
      </c>
      <c r="R16" s="5">
        <v>330000</v>
      </c>
      <c r="T16" s="5">
        <v>330000</v>
      </c>
      <c r="V16" s="5">
        <v>330000</v>
      </c>
      <c r="W16" s="14"/>
      <c r="X16" s="5">
        <v>330000</v>
      </c>
      <c r="Z16" s="5">
        <v>330000</v>
      </c>
      <c r="AB16" s="5">
        <v>1600000</v>
      </c>
    </row>
    <row r="17" spans="1:40" s="5" customFormat="1" ht="15" customHeight="1" x14ac:dyDescent="0.2">
      <c r="A17" s="9" t="s">
        <v>30</v>
      </c>
      <c r="B17" s="43"/>
      <c r="E17" s="5">
        <f>40000</f>
        <v>40000</v>
      </c>
      <c r="F17" s="5">
        <f>100000+400000+40000+314000+54000</f>
        <v>908000</v>
      </c>
      <c r="G17" s="5">
        <f>103000+314000+40000+160000</f>
        <v>617000</v>
      </c>
      <c r="H17" s="22">
        <f>180000+100000+40000</f>
        <v>320000</v>
      </c>
      <c r="I17" s="27">
        <f>130000+40000+315000+140000+68000</f>
        <v>693000</v>
      </c>
      <c r="J17" s="27">
        <f>380000+100000+580000+140000+315000+240000</f>
        <v>1755000</v>
      </c>
      <c r="K17" s="27">
        <f>130000+140000</f>
        <v>270000</v>
      </c>
      <c r="L17" s="27">
        <f>360000+100000+140000+580000</f>
        <v>1180000</v>
      </c>
      <c r="M17" s="5">
        <v>580000</v>
      </c>
      <c r="N17" s="5">
        <f>340000+100000</f>
        <v>440000</v>
      </c>
      <c r="P17" s="5">
        <f>320000+100000</f>
        <v>420000</v>
      </c>
      <c r="R17" s="5">
        <v>1400000</v>
      </c>
      <c r="T17" s="5">
        <v>280000</v>
      </c>
      <c r="V17" s="5">
        <v>660000</v>
      </c>
      <c r="W17" s="14"/>
    </row>
    <row r="18" spans="1:40" s="5" customFormat="1" ht="15" customHeight="1" x14ac:dyDescent="0.2">
      <c r="A18" s="9" t="s">
        <v>31</v>
      </c>
      <c r="B18" s="43"/>
      <c r="G18" s="22">
        <v>250000</v>
      </c>
      <c r="H18" s="22">
        <v>470000</v>
      </c>
      <c r="I18" s="27">
        <v>100000</v>
      </c>
      <c r="J18" s="27"/>
      <c r="K18" s="27"/>
      <c r="L18" s="27"/>
      <c r="W18" s="14"/>
    </row>
    <row r="19" spans="1:40" ht="13.5" customHeight="1" x14ac:dyDescent="0.2">
      <c r="B19" s="3">
        <f>SUM(B5:B16)</f>
        <v>1587000</v>
      </c>
      <c r="D19" s="6">
        <v>1882600</v>
      </c>
      <c r="E19" s="7">
        <v>361000</v>
      </c>
      <c r="F19" s="6">
        <f>+F3-SUM(F4:F17)</f>
        <v>314000</v>
      </c>
      <c r="G19" s="12">
        <f t="shared" ref="G19:AN19" si="0">+G3-SUM(G4:G18)</f>
        <v>477000</v>
      </c>
      <c r="H19" s="12">
        <f t="shared" si="0"/>
        <v>275000</v>
      </c>
      <c r="I19" s="25">
        <f>+I3-SUM(I4:I18)</f>
        <v>760000</v>
      </c>
      <c r="J19" s="25">
        <f>+J3-SUM(J4:J18)</f>
        <v>272400</v>
      </c>
      <c r="K19" s="25">
        <f>+K3-SUM(K4:K18)</f>
        <v>200</v>
      </c>
      <c r="L19" s="25">
        <f t="shared" si="0"/>
        <v>-462800</v>
      </c>
      <c r="M19" s="12">
        <f>+M3-SUM(M4:M18)</f>
        <v>324200</v>
      </c>
      <c r="N19" s="12">
        <f>+N3-SUM(N4:N18)</f>
        <v>-417800</v>
      </c>
      <c r="O19" s="12">
        <f>+O3-SUM(O4:O18)</f>
        <v>504200</v>
      </c>
      <c r="P19" s="12">
        <f>+P3-SUM(P4:P18)</f>
        <v>-605000</v>
      </c>
      <c r="Q19" s="12">
        <f>+Q3-SUM(Q4:Q18)</f>
        <v>1602000</v>
      </c>
      <c r="R19" s="12">
        <f t="shared" si="0"/>
        <v>-1585000</v>
      </c>
      <c r="S19" s="12">
        <f>+S3-SUM(S4:S18)</f>
        <v>602000</v>
      </c>
      <c r="T19" s="12">
        <f t="shared" si="0"/>
        <v>-465000</v>
      </c>
      <c r="U19" s="12">
        <f t="shared" si="0"/>
        <v>602000</v>
      </c>
      <c r="V19" s="12">
        <f t="shared" si="0"/>
        <v>-545000</v>
      </c>
      <c r="W19" s="12">
        <f t="shared" si="0"/>
        <v>602000</v>
      </c>
      <c r="X19" s="12">
        <f t="shared" si="0"/>
        <v>115000</v>
      </c>
      <c r="Y19" s="12">
        <f t="shared" si="0"/>
        <v>-156000</v>
      </c>
      <c r="Z19" s="12">
        <f t="shared" si="0"/>
        <v>115000</v>
      </c>
      <c r="AA19" s="12">
        <f t="shared" si="0"/>
        <v>744000</v>
      </c>
      <c r="AB19" s="12">
        <f t="shared" si="0"/>
        <v>-1155000</v>
      </c>
      <c r="AC19" s="12">
        <f t="shared" si="0"/>
        <v>744000</v>
      </c>
      <c r="AD19" s="12">
        <f t="shared" si="0"/>
        <v>445000</v>
      </c>
      <c r="AE19" s="12">
        <f t="shared" si="0"/>
        <v>1500000</v>
      </c>
      <c r="AF19" s="12">
        <f t="shared" si="0"/>
        <v>1500000</v>
      </c>
      <c r="AG19" s="12">
        <f t="shared" si="0"/>
        <v>1500000</v>
      </c>
      <c r="AH19" s="12">
        <f t="shared" si="0"/>
        <v>1500000</v>
      </c>
      <c r="AI19" s="12">
        <f t="shared" si="0"/>
        <v>1500000</v>
      </c>
      <c r="AJ19" s="12">
        <f t="shared" si="0"/>
        <v>1500000</v>
      </c>
      <c r="AK19" s="12">
        <f t="shared" si="0"/>
        <v>1500000</v>
      </c>
      <c r="AL19" s="12">
        <f t="shared" si="0"/>
        <v>1500000</v>
      </c>
      <c r="AM19" s="12">
        <f t="shared" si="0"/>
        <v>1500000</v>
      </c>
      <c r="AN19" s="12">
        <f t="shared" si="0"/>
        <v>1500000</v>
      </c>
    </row>
    <row r="20" spans="1:40" ht="13.5" customHeight="1" x14ac:dyDescent="0.2">
      <c r="B20" s="3"/>
      <c r="D20" s="6"/>
      <c r="E20" s="7"/>
      <c r="F20" s="6"/>
      <c r="G20" s="12"/>
      <c r="H20" s="12"/>
      <c r="I20" s="25"/>
      <c r="J20" s="25"/>
      <c r="K20" s="25"/>
      <c r="L20" s="25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</row>
    <row r="21" spans="1:40" x14ac:dyDescent="0.2">
      <c r="B21" s="1"/>
      <c r="D21" s="5" t="s">
        <v>80</v>
      </c>
      <c r="I21" s="5">
        <v>600000</v>
      </c>
      <c r="J21" s="28">
        <f>+J19+I21</f>
        <v>872400</v>
      </c>
      <c r="K21" s="13">
        <f>+K19+J23</f>
        <v>572600</v>
      </c>
      <c r="L21" s="34">
        <f>+L19+K21</f>
        <v>109800</v>
      </c>
      <c r="M21" s="34">
        <f>+M19+L21</f>
        <v>434000</v>
      </c>
      <c r="N21" s="24">
        <f>+N19+M21</f>
        <v>16200</v>
      </c>
      <c r="O21" s="5">
        <f>+O19</f>
        <v>504200</v>
      </c>
      <c r="P21" s="5">
        <f>+P19+O21</f>
        <v>-100800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spans="1:40" x14ac:dyDescent="0.2">
      <c r="A22" s="2"/>
      <c r="B22" s="1"/>
      <c r="J22" s="5">
        <v>-300000</v>
      </c>
      <c r="L22" s="13"/>
      <c r="M22" s="13"/>
      <c r="N22" s="5"/>
    </row>
    <row r="23" spans="1:40" x14ac:dyDescent="0.2">
      <c r="A23" s="2"/>
      <c r="B23" s="1"/>
      <c r="D23" s="28"/>
      <c r="E23" s="14"/>
      <c r="F23" s="14"/>
      <c r="G23" s="14"/>
      <c r="H23" s="14"/>
      <c r="I23" s="14"/>
      <c r="J23" s="5">
        <f>+J21+J22</f>
        <v>572400</v>
      </c>
    </row>
    <row r="24" spans="1:40" x14ac:dyDescent="0.2">
      <c r="B24" s="19"/>
      <c r="D24" s="53"/>
      <c r="I24" s="28"/>
    </row>
    <row r="25" spans="1:40" x14ac:dyDescent="0.2">
      <c r="A25" s="18"/>
      <c r="B25" s="19"/>
      <c r="D25" s="53"/>
    </row>
    <row r="26" spans="1:40" x14ac:dyDescent="0.2">
      <c r="A26" s="18"/>
      <c r="B26" s="1"/>
      <c r="D26" s="53"/>
      <c r="Q26" s="5"/>
      <c r="R26" s="5"/>
    </row>
    <row r="27" spans="1:40" x14ac:dyDescent="0.2">
      <c r="B27" s="19"/>
      <c r="D27" s="53"/>
    </row>
    <row r="28" spans="1:40" x14ac:dyDescent="0.2">
      <c r="D28" s="53"/>
    </row>
    <row r="29" spans="1:40" x14ac:dyDescent="0.2">
      <c r="H29" s="6"/>
      <c r="I29" s="6"/>
    </row>
    <row r="35" spans="2:2" x14ac:dyDescent="0.2">
      <c r="B35" s="1"/>
    </row>
    <row r="36" spans="2:2" x14ac:dyDescent="0.2">
      <c r="B36" s="1"/>
    </row>
    <row r="37" spans="2:2" x14ac:dyDescent="0.2">
      <c r="B37" s="1"/>
    </row>
    <row r="38" spans="2:2" x14ac:dyDescent="0.2">
      <c r="B38" s="1"/>
    </row>
    <row r="39" spans="2:2" x14ac:dyDescent="0.2">
      <c r="B39" s="1"/>
    </row>
    <row r="40" spans="2:2" x14ac:dyDescent="0.2">
      <c r="B40" s="1"/>
    </row>
    <row r="41" spans="2:2" x14ac:dyDescent="0.2">
      <c r="B41" s="1"/>
    </row>
    <row r="42" spans="2:2" x14ac:dyDescent="0.2">
      <c r="B42" s="1"/>
    </row>
    <row r="43" spans="2:2" x14ac:dyDescent="0.2">
      <c r="B43" s="1"/>
    </row>
    <row r="44" spans="2:2" x14ac:dyDescent="0.2">
      <c r="B44" s="1"/>
    </row>
    <row r="45" spans="2:2" x14ac:dyDescent="0.2">
      <c r="B45" s="1"/>
    </row>
    <row r="46" spans="2:2" x14ac:dyDescent="0.2">
      <c r="B46" s="1"/>
    </row>
    <row r="47" spans="2:2" x14ac:dyDescent="0.2">
      <c r="B47" s="1"/>
    </row>
    <row r="48" spans="2:2" x14ac:dyDescent="0.2">
      <c r="B48" s="1"/>
    </row>
    <row r="49" spans="2:2" x14ac:dyDescent="0.2">
      <c r="B49" s="1"/>
    </row>
    <row r="50" spans="2:2" x14ac:dyDescent="0.2">
      <c r="B50" s="1"/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  <row r="58" spans="2:2" x14ac:dyDescent="0.2">
      <c r="B58" s="1"/>
    </row>
    <row r="59" spans="2:2" x14ac:dyDescent="0.2">
      <c r="B59" s="1"/>
    </row>
    <row r="60" spans="2:2" x14ac:dyDescent="0.2">
      <c r="B60" s="1"/>
    </row>
    <row r="61" spans="2:2" x14ac:dyDescent="0.2">
      <c r="B61" s="1"/>
    </row>
    <row r="62" spans="2:2" x14ac:dyDescent="0.2">
      <c r="B62" s="1"/>
    </row>
    <row r="63" spans="2:2" x14ac:dyDescent="0.2">
      <c r="B63" s="1"/>
    </row>
    <row r="64" spans="2:2" x14ac:dyDescent="0.2">
      <c r="B64" s="1"/>
    </row>
    <row r="65" spans="2:2" x14ac:dyDescent="0.2">
      <c r="B65" s="1"/>
    </row>
    <row r="66" spans="2:2" x14ac:dyDescent="0.2">
      <c r="B66" s="1"/>
    </row>
    <row r="67" spans="2:2" x14ac:dyDescent="0.2">
      <c r="B67" s="1"/>
    </row>
    <row r="68" spans="2:2" x14ac:dyDescent="0.2">
      <c r="B68" s="1"/>
    </row>
    <row r="69" spans="2:2" x14ac:dyDescent="0.2">
      <c r="B69" s="1"/>
    </row>
    <row r="70" spans="2:2" x14ac:dyDescent="0.2">
      <c r="B70" s="1"/>
    </row>
    <row r="71" spans="2:2" x14ac:dyDescent="0.2">
      <c r="B71" s="1"/>
    </row>
    <row r="72" spans="2:2" x14ac:dyDescent="0.2">
      <c r="B72" s="1"/>
    </row>
    <row r="73" spans="2:2" x14ac:dyDescent="0.2">
      <c r="B73" s="1"/>
    </row>
    <row r="74" spans="2:2" x14ac:dyDescent="0.2">
      <c r="B74" s="1"/>
    </row>
    <row r="75" spans="2:2" x14ac:dyDescent="0.2">
      <c r="B75" s="1"/>
    </row>
    <row r="76" spans="2:2" x14ac:dyDescent="0.2">
      <c r="B76" s="1"/>
    </row>
    <row r="77" spans="2:2" x14ac:dyDescent="0.2">
      <c r="B77" s="1"/>
    </row>
    <row r="78" spans="2:2" x14ac:dyDescent="0.2">
      <c r="B78" s="1"/>
    </row>
    <row r="79" spans="2:2" x14ac:dyDescent="0.2">
      <c r="B79" s="1"/>
    </row>
    <row r="80" spans="2:2" x14ac:dyDescent="0.2">
      <c r="B80" s="1"/>
    </row>
    <row r="81" spans="2:2" x14ac:dyDescent="0.2">
      <c r="B81" s="1"/>
    </row>
    <row r="82" spans="2:2" x14ac:dyDescent="0.2">
      <c r="B82" s="1"/>
    </row>
    <row r="83" spans="2:2" x14ac:dyDescent="0.2">
      <c r="B83" s="1"/>
    </row>
    <row r="84" spans="2:2" x14ac:dyDescent="0.2">
      <c r="B84" s="1"/>
    </row>
    <row r="85" spans="2:2" x14ac:dyDescent="0.2">
      <c r="B85" s="1"/>
    </row>
    <row r="86" spans="2:2" x14ac:dyDescent="0.2">
      <c r="B86" s="1"/>
    </row>
    <row r="87" spans="2:2" x14ac:dyDescent="0.2">
      <c r="B87" s="1"/>
    </row>
    <row r="88" spans="2:2" x14ac:dyDescent="0.2">
      <c r="B88" s="1"/>
    </row>
    <row r="89" spans="2:2" x14ac:dyDescent="0.2">
      <c r="B89" s="1"/>
    </row>
    <row r="90" spans="2:2" x14ac:dyDescent="0.2">
      <c r="B90" s="1"/>
    </row>
    <row r="91" spans="2:2" x14ac:dyDescent="0.2">
      <c r="B91" s="1"/>
    </row>
    <row r="92" spans="2:2" x14ac:dyDescent="0.2">
      <c r="B92" s="1"/>
    </row>
    <row r="93" spans="2:2" x14ac:dyDescent="0.2">
      <c r="B93" s="1"/>
    </row>
    <row r="94" spans="2:2" x14ac:dyDescent="0.2">
      <c r="B94" s="1"/>
    </row>
    <row r="95" spans="2:2" x14ac:dyDescent="0.2">
      <c r="B95" s="1"/>
    </row>
    <row r="96" spans="2:2" x14ac:dyDescent="0.2">
      <c r="B96" s="1"/>
    </row>
    <row r="97" spans="2:2" x14ac:dyDescent="0.2">
      <c r="B97" s="1"/>
    </row>
    <row r="98" spans="2:2" x14ac:dyDescent="0.2">
      <c r="B98" s="1"/>
    </row>
    <row r="99" spans="2:2" x14ac:dyDescent="0.2">
      <c r="B99" s="1"/>
    </row>
    <row r="100" spans="2:2" x14ac:dyDescent="0.2">
      <c r="B100" s="1"/>
    </row>
    <row r="101" spans="2:2" x14ac:dyDescent="0.2">
      <c r="B101" s="1"/>
    </row>
    <row r="102" spans="2:2" x14ac:dyDescent="0.2">
      <c r="B102" s="1"/>
    </row>
    <row r="103" spans="2:2" x14ac:dyDescent="0.2">
      <c r="B103" s="1"/>
    </row>
    <row r="104" spans="2:2" x14ac:dyDescent="0.2">
      <c r="B104" s="1"/>
    </row>
    <row r="105" spans="2:2" x14ac:dyDescent="0.2">
      <c r="B105" s="1"/>
    </row>
    <row r="106" spans="2:2" x14ac:dyDescent="0.2">
      <c r="B106" s="1"/>
    </row>
    <row r="107" spans="2:2" x14ac:dyDescent="0.2">
      <c r="B107" s="1"/>
    </row>
    <row r="108" spans="2:2" x14ac:dyDescent="0.2">
      <c r="B108" s="1"/>
    </row>
    <row r="109" spans="2:2" x14ac:dyDescent="0.2">
      <c r="B109" s="1"/>
    </row>
    <row r="110" spans="2:2" x14ac:dyDescent="0.2">
      <c r="B110" s="1"/>
    </row>
    <row r="111" spans="2:2" x14ac:dyDescent="0.2">
      <c r="B111" s="1"/>
    </row>
    <row r="112" spans="2:2" x14ac:dyDescent="0.2">
      <c r="B112" s="1"/>
    </row>
    <row r="113" spans="2:2" x14ac:dyDescent="0.2">
      <c r="B113" s="1"/>
    </row>
    <row r="114" spans="2:2" x14ac:dyDescent="0.2">
      <c r="B114" s="1"/>
    </row>
    <row r="115" spans="2:2" x14ac:dyDescent="0.2">
      <c r="B115" s="1"/>
    </row>
    <row r="116" spans="2:2" x14ac:dyDescent="0.2">
      <c r="B116" s="1"/>
    </row>
    <row r="117" spans="2:2" x14ac:dyDescent="0.2">
      <c r="B117" s="1"/>
    </row>
    <row r="118" spans="2:2" x14ac:dyDescent="0.2">
      <c r="B118" s="1"/>
    </row>
    <row r="119" spans="2:2" x14ac:dyDescent="0.2">
      <c r="B119" s="1"/>
    </row>
    <row r="120" spans="2:2" x14ac:dyDescent="0.2">
      <c r="B120" s="1"/>
    </row>
    <row r="121" spans="2:2" x14ac:dyDescent="0.2">
      <c r="B121" s="1"/>
    </row>
    <row r="122" spans="2:2" x14ac:dyDescent="0.2">
      <c r="B122" s="1"/>
    </row>
    <row r="123" spans="2:2" x14ac:dyDescent="0.2">
      <c r="B123" s="1"/>
    </row>
    <row r="124" spans="2:2" x14ac:dyDescent="0.2">
      <c r="B124" s="1"/>
    </row>
    <row r="125" spans="2:2" x14ac:dyDescent="0.2">
      <c r="B125" s="1"/>
    </row>
    <row r="126" spans="2:2" x14ac:dyDescent="0.2">
      <c r="B126" s="1"/>
    </row>
    <row r="127" spans="2:2" x14ac:dyDescent="0.2">
      <c r="B127" s="1"/>
    </row>
    <row r="128" spans="2:2" x14ac:dyDescent="0.2">
      <c r="B128" s="1"/>
    </row>
    <row r="129" spans="2:2" x14ac:dyDescent="0.2">
      <c r="B129" s="1"/>
    </row>
    <row r="130" spans="2:2" x14ac:dyDescent="0.2">
      <c r="B130" s="1"/>
    </row>
    <row r="131" spans="2:2" x14ac:dyDescent="0.2">
      <c r="B131" s="1"/>
    </row>
    <row r="132" spans="2:2" x14ac:dyDescent="0.2">
      <c r="B132" s="1"/>
    </row>
    <row r="133" spans="2:2" x14ac:dyDescent="0.2">
      <c r="B133" s="1"/>
    </row>
    <row r="134" spans="2:2" x14ac:dyDescent="0.2">
      <c r="B134" s="1"/>
    </row>
    <row r="135" spans="2:2" x14ac:dyDescent="0.2">
      <c r="B135" s="1"/>
    </row>
    <row r="136" spans="2:2" x14ac:dyDescent="0.2">
      <c r="B136" s="1"/>
    </row>
    <row r="137" spans="2:2" x14ac:dyDescent="0.2">
      <c r="B137" s="1"/>
    </row>
    <row r="138" spans="2:2" x14ac:dyDescent="0.2">
      <c r="B138" s="1"/>
    </row>
    <row r="139" spans="2:2" x14ac:dyDescent="0.2">
      <c r="B139" s="1"/>
    </row>
    <row r="140" spans="2:2" x14ac:dyDescent="0.2">
      <c r="B140" s="1"/>
    </row>
    <row r="141" spans="2:2" x14ac:dyDescent="0.2">
      <c r="B141" s="1"/>
    </row>
    <row r="142" spans="2:2" x14ac:dyDescent="0.2">
      <c r="B142" s="1"/>
    </row>
    <row r="143" spans="2:2" x14ac:dyDescent="0.2">
      <c r="B143" s="1"/>
    </row>
    <row r="144" spans="2:2" x14ac:dyDescent="0.2">
      <c r="B144" s="1"/>
    </row>
    <row r="145" spans="2:2" x14ac:dyDescent="0.2">
      <c r="B145" s="1"/>
    </row>
    <row r="146" spans="2:2" x14ac:dyDescent="0.2">
      <c r="B146" s="1"/>
    </row>
    <row r="147" spans="2:2" x14ac:dyDescent="0.2">
      <c r="B147" s="1"/>
    </row>
    <row r="148" spans="2:2" x14ac:dyDescent="0.2">
      <c r="B148" s="1"/>
    </row>
    <row r="149" spans="2:2" x14ac:dyDescent="0.2">
      <c r="B149" s="1"/>
    </row>
    <row r="150" spans="2:2" x14ac:dyDescent="0.2">
      <c r="B150" s="1"/>
    </row>
    <row r="151" spans="2:2" x14ac:dyDescent="0.2">
      <c r="B151" s="1"/>
    </row>
    <row r="152" spans="2:2" x14ac:dyDescent="0.2">
      <c r="B152" s="1"/>
    </row>
    <row r="153" spans="2:2" x14ac:dyDescent="0.2">
      <c r="B153" s="1"/>
    </row>
    <row r="154" spans="2:2" x14ac:dyDescent="0.2">
      <c r="B154" s="1"/>
    </row>
    <row r="155" spans="2:2" x14ac:dyDescent="0.2">
      <c r="B155" s="1"/>
    </row>
    <row r="156" spans="2:2" x14ac:dyDescent="0.2">
      <c r="B156" s="1"/>
    </row>
    <row r="157" spans="2:2" x14ac:dyDescent="0.2">
      <c r="B157" s="1"/>
    </row>
    <row r="158" spans="2:2" x14ac:dyDescent="0.2">
      <c r="B158" s="1"/>
    </row>
    <row r="159" spans="2:2" x14ac:dyDescent="0.2">
      <c r="B159" s="1"/>
    </row>
    <row r="160" spans="2:2" x14ac:dyDescent="0.2">
      <c r="B160" s="1"/>
    </row>
    <row r="161" spans="2:2" x14ac:dyDescent="0.2">
      <c r="B161" s="1"/>
    </row>
    <row r="162" spans="2:2" x14ac:dyDescent="0.2">
      <c r="B162" s="1"/>
    </row>
    <row r="163" spans="2:2" x14ac:dyDescent="0.2">
      <c r="B163" s="1"/>
    </row>
    <row r="164" spans="2:2" x14ac:dyDescent="0.2">
      <c r="B164" s="1"/>
    </row>
    <row r="165" spans="2:2" x14ac:dyDescent="0.2">
      <c r="B165" s="1"/>
    </row>
    <row r="166" spans="2:2" x14ac:dyDescent="0.2">
      <c r="B166" s="1"/>
    </row>
    <row r="167" spans="2:2" x14ac:dyDescent="0.2">
      <c r="B167" s="1"/>
    </row>
    <row r="168" spans="2:2" x14ac:dyDescent="0.2">
      <c r="B168" s="1"/>
    </row>
    <row r="169" spans="2:2" x14ac:dyDescent="0.2">
      <c r="B169" s="1"/>
    </row>
    <row r="170" spans="2:2" x14ac:dyDescent="0.2">
      <c r="B170" s="1"/>
    </row>
    <row r="171" spans="2:2" x14ac:dyDescent="0.2">
      <c r="B171" s="1"/>
    </row>
    <row r="172" spans="2:2" x14ac:dyDescent="0.2">
      <c r="B172" s="1"/>
    </row>
    <row r="173" spans="2:2" x14ac:dyDescent="0.2">
      <c r="B173" s="1"/>
    </row>
    <row r="174" spans="2:2" x14ac:dyDescent="0.2">
      <c r="B174" s="1"/>
    </row>
    <row r="175" spans="2:2" x14ac:dyDescent="0.2">
      <c r="B175" s="1"/>
    </row>
    <row r="176" spans="2:2" x14ac:dyDescent="0.2">
      <c r="B176" s="1"/>
    </row>
    <row r="177" spans="2:2" x14ac:dyDescent="0.2">
      <c r="B177" s="1"/>
    </row>
    <row r="178" spans="2:2" x14ac:dyDescent="0.2">
      <c r="B178" s="1"/>
    </row>
    <row r="179" spans="2:2" x14ac:dyDescent="0.2">
      <c r="B179" s="1"/>
    </row>
    <row r="180" spans="2:2" x14ac:dyDescent="0.2">
      <c r="B180" s="1"/>
    </row>
    <row r="181" spans="2:2" x14ac:dyDescent="0.2">
      <c r="B181" s="1"/>
    </row>
    <row r="182" spans="2:2" x14ac:dyDescent="0.2">
      <c r="B182" s="1"/>
    </row>
    <row r="183" spans="2:2" x14ac:dyDescent="0.2">
      <c r="B183" s="1"/>
    </row>
    <row r="184" spans="2:2" x14ac:dyDescent="0.2">
      <c r="B184" s="1"/>
    </row>
    <row r="185" spans="2:2" x14ac:dyDescent="0.2">
      <c r="B185" s="1"/>
    </row>
    <row r="186" spans="2:2" x14ac:dyDescent="0.2">
      <c r="B186" s="1"/>
    </row>
    <row r="187" spans="2:2" x14ac:dyDescent="0.2">
      <c r="B187" s="1"/>
    </row>
    <row r="188" spans="2:2" x14ac:dyDescent="0.2">
      <c r="B188" s="1"/>
    </row>
    <row r="189" spans="2:2" x14ac:dyDescent="0.2">
      <c r="B189" s="1"/>
    </row>
    <row r="190" spans="2:2" x14ac:dyDescent="0.2">
      <c r="B190" s="1"/>
    </row>
    <row r="191" spans="2:2" x14ac:dyDescent="0.2">
      <c r="B191" s="1"/>
    </row>
    <row r="192" spans="2:2" x14ac:dyDescent="0.2">
      <c r="B192" s="1"/>
    </row>
    <row r="193" spans="2:2" x14ac:dyDescent="0.2">
      <c r="B193" s="1"/>
    </row>
    <row r="194" spans="2:2" x14ac:dyDescent="0.2">
      <c r="B194" s="1"/>
    </row>
    <row r="195" spans="2:2" x14ac:dyDescent="0.2">
      <c r="B195" s="1"/>
    </row>
    <row r="196" spans="2:2" x14ac:dyDescent="0.2">
      <c r="B196" s="1"/>
    </row>
    <row r="197" spans="2:2" x14ac:dyDescent="0.2">
      <c r="B197" s="1"/>
    </row>
    <row r="198" spans="2:2" x14ac:dyDescent="0.2">
      <c r="B198" s="1"/>
    </row>
    <row r="199" spans="2:2" x14ac:dyDescent="0.2">
      <c r="B199" s="1"/>
    </row>
    <row r="200" spans="2:2" x14ac:dyDescent="0.2">
      <c r="B200" s="1"/>
    </row>
    <row r="201" spans="2:2" x14ac:dyDescent="0.2">
      <c r="B201" s="1"/>
    </row>
    <row r="202" spans="2:2" x14ac:dyDescent="0.2">
      <c r="B202" s="1"/>
    </row>
    <row r="203" spans="2:2" x14ac:dyDescent="0.2">
      <c r="B203" s="1"/>
    </row>
    <row r="204" spans="2:2" x14ac:dyDescent="0.2">
      <c r="B204" s="1"/>
    </row>
    <row r="205" spans="2:2" x14ac:dyDescent="0.2">
      <c r="B205" s="1"/>
    </row>
    <row r="206" spans="2:2" x14ac:dyDescent="0.2">
      <c r="B206" s="1"/>
    </row>
    <row r="207" spans="2:2" x14ac:dyDescent="0.2">
      <c r="B207" s="1"/>
    </row>
    <row r="208" spans="2:2" x14ac:dyDescent="0.2">
      <c r="B208" s="1"/>
    </row>
    <row r="209" spans="2:2" x14ac:dyDescent="0.2">
      <c r="B209" s="1"/>
    </row>
    <row r="210" spans="2:2" x14ac:dyDescent="0.2">
      <c r="B210" s="1"/>
    </row>
    <row r="211" spans="2:2" x14ac:dyDescent="0.2">
      <c r="B211" s="1"/>
    </row>
    <row r="212" spans="2:2" x14ac:dyDescent="0.2">
      <c r="B212" s="1"/>
    </row>
    <row r="213" spans="2:2" x14ac:dyDescent="0.2">
      <c r="B213" s="1"/>
    </row>
    <row r="214" spans="2:2" x14ac:dyDescent="0.2">
      <c r="B214" s="1"/>
    </row>
    <row r="215" spans="2:2" x14ac:dyDescent="0.2">
      <c r="B215" s="1"/>
    </row>
    <row r="216" spans="2:2" x14ac:dyDescent="0.2">
      <c r="B216" s="1"/>
    </row>
    <row r="217" spans="2:2" x14ac:dyDescent="0.2">
      <c r="B217" s="1"/>
    </row>
    <row r="218" spans="2:2" x14ac:dyDescent="0.2">
      <c r="B218" s="1"/>
    </row>
    <row r="219" spans="2:2" x14ac:dyDescent="0.2">
      <c r="B219" s="1"/>
    </row>
    <row r="220" spans="2:2" x14ac:dyDescent="0.2">
      <c r="B220" s="1"/>
    </row>
    <row r="221" spans="2:2" x14ac:dyDescent="0.2">
      <c r="B221" s="1"/>
    </row>
    <row r="222" spans="2:2" x14ac:dyDescent="0.2">
      <c r="B222" s="1"/>
    </row>
    <row r="223" spans="2:2" x14ac:dyDescent="0.2">
      <c r="B223" s="1"/>
    </row>
    <row r="224" spans="2:2" x14ac:dyDescent="0.2">
      <c r="B224" s="1"/>
    </row>
    <row r="225" spans="2:2" x14ac:dyDescent="0.2">
      <c r="B225" s="1"/>
    </row>
    <row r="226" spans="2:2" x14ac:dyDescent="0.2">
      <c r="B226" s="1"/>
    </row>
    <row r="227" spans="2:2" x14ac:dyDescent="0.2">
      <c r="B227" s="1"/>
    </row>
    <row r="228" spans="2:2" x14ac:dyDescent="0.2">
      <c r="B228" s="1"/>
    </row>
    <row r="229" spans="2:2" x14ac:dyDescent="0.2">
      <c r="B229" s="1"/>
    </row>
    <row r="230" spans="2:2" x14ac:dyDescent="0.2">
      <c r="B230" s="1"/>
    </row>
    <row r="231" spans="2:2" x14ac:dyDescent="0.2">
      <c r="B231" s="1"/>
    </row>
    <row r="232" spans="2:2" x14ac:dyDescent="0.2">
      <c r="B232" s="1"/>
    </row>
    <row r="233" spans="2:2" x14ac:dyDescent="0.2">
      <c r="B233" s="1"/>
    </row>
    <row r="234" spans="2:2" x14ac:dyDescent="0.2">
      <c r="B234" s="1"/>
    </row>
    <row r="235" spans="2:2" x14ac:dyDescent="0.2">
      <c r="B235" s="1"/>
    </row>
    <row r="236" spans="2:2" x14ac:dyDescent="0.2">
      <c r="B236" s="1"/>
    </row>
    <row r="237" spans="2:2" x14ac:dyDescent="0.2">
      <c r="B237" s="1"/>
    </row>
    <row r="238" spans="2:2" x14ac:dyDescent="0.2">
      <c r="B238" s="1"/>
    </row>
    <row r="239" spans="2:2" x14ac:dyDescent="0.2">
      <c r="B239" s="1"/>
    </row>
    <row r="240" spans="2:2" x14ac:dyDescent="0.2">
      <c r="B240" s="1"/>
    </row>
    <row r="241" spans="2:2" x14ac:dyDescent="0.2">
      <c r="B241" s="1"/>
    </row>
    <row r="242" spans="2:2" x14ac:dyDescent="0.2">
      <c r="B242" s="1"/>
    </row>
    <row r="243" spans="2:2" x14ac:dyDescent="0.2">
      <c r="B243" s="1"/>
    </row>
    <row r="244" spans="2:2" x14ac:dyDescent="0.2">
      <c r="B244" s="1"/>
    </row>
    <row r="245" spans="2:2" x14ac:dyDescent="0.2">
      <c r="B245" s="1"/>
    </row>
    <row r="246" spans="2:2" x14ac:dyDescent="0.2">
      <c r="B246" s="1"/>
    </row>
    <row r="247" spans="2:2" x14ac:dyDescent="0.2">
      <c r="B247" s="1"/>
    </row>
    <row r="248" spans="2:2" x14ac:dyDescent="0.2">
      <c r="B248" s="1"/>
    </row>
    <row r="249" spans="2:2" x14ac:dyDescent="0.2">
      <c r="B249" s="1"/>
    </row>
    <row r="250" spans="2:2" x14ac:dyDescent="0.2">
      <c r="B250" s="1"/>
    </row>
    <row r="251" spans="2:2" x14ac:dyDescent="0.2">
      <c r="B251" s="1"/>
    </row>
    <row r="252" spans="2:2" x14ac:dyDescent="0.2">
      <c r="B252" s="1"/>
    </row>
    <row r="253" spans="2:2" x14ac:dyDescent="0.2">
      <c r="B253" s="1"/>
    </row>
    <row r="254" spans="2:2" x14ac:dyDescent="0.2">
      <c r="B254" s="1"/>
    </row>
    <row r="255" spans="2:2" x14ac:dyDescent="0.2">
      <c r="B255" s="1"/>
    </row>
    <row r="256" spans="2:2" x14ac:dyDescent="0.2">
      <c r="B256" s="1"/>
    </row>
    <row r="257" spans="2:2" x14ac:dyDescent="0.2">
      <c r="B257" s="1"/>
    </row>
    <row r="258" spans="2:2" x14ac:dyDescent="0.2">
      <c r="B258" s="1"/>
    </row>
    <row r="259" spans="2:2" x14ac:dyDescent="0.2">
      <c r="B259" s="1"/>
    </row>
    <row r="260" spans="2:2" x14ac:dyDescent="0.2">
      <c r="B260" s="1"/>
    </row>
    <row r="261" spans="2:2" x14ac:dyDescent="0.2">
      <c r="B261" s="1"/>
    </row>
    <row r="262" spans="2:2" x14ac:dyDescent="0.2">
      <c r="B262" s="1"/>
    </row>
    <row r="263" spans="2:2" x14ac:dyDescent="0.2">
      <c r="B263" s="1"/>
    </row>
    <row r="264" spans="2:2" x14ac:dyDescent="0.2">
      <c r="B264" s="1"/>
    </row>
    <row r="265" spans="2:2" x14ac:dyDescent="0.2">
      <c r="B265" s="1"/>
    </row>
    <row r="266" spans="2:2" x14ac:dyDescent="0.2">
      <c r="B266" s="1"/>
    </row>
    <row r="267" spans="2:2" x14ac:dyDescent="0.2">
      <c r="B267" s="1"/>
    </row>
    <row r="268" spans="2:2" x14ac:dyDescent="0.2">
      <c r="B268" s="1"/>
    </row>
    <row r="269" spans="2:2" x14ac:dyDescent="0.2">
      <c r="B269" s="1"/>
    </row>
    <row r="270" spans="2:2" x14ac:dyDescent="0.2">
      <c r="B270" s="1"/>
    </row>
    <row r="271" spans="2:2" x14ac:dyDescent="0.2">
      <c r="B271" s="1"/>
    </row>
    <row r="272" spans="2:2" x14ac:dyDescent="0.2">
      <c r="B272" s="1"/>
    </row>
    <row r="273" spans="2:2" x14ac:dyDescent="0.2">
      <c r="B273" s="1"/>
    </row>
    <row r="274" spans="2:2" x14ac:dyDescent="0.2">
      <c r="B274" s="1"/>
    </row>
    <row r="275" spans="2:2" x14ac:dyDescent="0.2">
      <c r="B275" s="1"/>
    </row>
    <row r="276" spans="2:2" x14ac:dyDescent="0.2">
      <c r="B276" s="1"/>
    </row>
    <row r="277" spans="2:2" x14ac:dyDescent="0.2">
      <c r="B277" s="1"/>
    </row>
    <row r="278" spans="2:2" x14ac:dyDescent="0.2">
      <c r="B278" s="1"/>
    </row>
    <row r="279" spans="2:2" x14ac:dyDescent="0.2">
      <c r="B279" s="1"/>
    </row>
    <row r="280" spans="2:2" x14ac:dyDescent="0.2">
      <c r="B280" s="1"/>
    </row>
    <row r="281" spans="2:2" x14ac:dyDescent="0.2">
      <c r="B281" s="1"/>
    </row>
    <row r="282" spans="2:2" x14ac:dyDescent="0.2">
      <c r="B282" s="1"/>
    </row>
    <row r="283" spans="2:2" x14ac:dyDescent="0.2">
      <c r="B283" s="1"/>
    </row>
    <row r="284" spans="2:2" x14ac:dyDescent="0.2">
      <c r="B284" s="1"/>
    </row>
    <row r="285" spans="2:2" x14ac:dyDescent="0.2">
      <c r="B285" s="1"/>
    </row>
    <row r="286" spans="2:2" x14ac:dyDescent="0.2">
      <c r="B286" s="1"/>
    </row>
    <row r="287" spans="2:2" x14ac:dyDescent="0.2">
      <c r="B287" s="1"/>
    </row>
    <row r="288" spans="2:2" x14ac:dyDescent="0.2">
      <c r="B288" s="1"/>
    </row>
    <row r="289" spans="2:2" x14ac:dyDescent="0.2">
      <c r="B289" s="1"/>
    </row>
    <row r="290" spans="2:2" x14ac:dyDescent="0.2">
      <c r="B290" s="1"/>
    </row>
    <row r="291" spans="2:2" x14ac:dyDescent="0.2">
      <c r="B291" s="1"/>
    </row>
    <row r="292" spans="2:2" x14ac:dyDescent="0.2">
      <c r="B292" s="1"/>
    </row>
    <row r="293" spans="2:2" x14ac:dyDescent="0.2">
      <c r="B293" s="1"/>
    </row>
    <row r="294" spans="2:2" x14ac:dyDescent="0.2">
      <c r="B294" s="1"/>
    </row>
    <row r="295" spans="2:2" x14ac:dyDescent="0.2">
      <c r="B295" s="1"/>
    </row>
    <row r="296" spans="2:2" x14ac:dyDescent="0.2">
      <c r="B296" s="1"/>
    </row>
    <row r="297" spans="2:2" x14ac:dyDescent="0.2">
      <c r="B297" s="1"/>
    </row>
    <row r="298" spans="2:2" x14ac:dyDescent="0.2">
      <c r="B298" s="1"/>
    </row>
    <row r="299" spans="2:2" x14ac:dyDescent="0.2">
      <c r="B299" s="1"/>
    </row>
    <row r="300" spans="2:2" x14ac:dyDescent="0.2">
      <c r="B300" s="1"/>
    </row>
    <row r="301" spans="2:2" x14ac:dyDescent="0.2">
      <c r="B301" s="1"/>
    </row>
    <row r="302" spans="2:2" x14ac:dyDescent="0.2">
      <c r="B302" s="1"/>
    </row>
    <row r="303" spans="2:2" x14ac:dyDescent="0.2">
      <c r="B303" s="1"/>
    </row>
    <row r="304" spans="2:2" x14ac:dyDescent="0.2">
      <c r="B304" s="1"/>
    </row>
    <row r="305" spans="2:2" x14ac:dyDescent="0.2">
      <c r="B305" s="1"/>
    </row>
    <row r="306" spans="2:2" x14ac:dyDescent="0.2">
      <c r="B306" s="1"/>
    </row>
    <row r="307" spans="2:2" x14ac:dyDescent="0.2">
      <c r="B307" s="1"/>
    </row>
    <row r="308" spans="2:2" x14ac:dyDescent="0.2">
      <c r="B308" s="1"/>
    </row>
    <row r="309" spans="2:2" x14ac:dyDescent="0.2">
      <c r="B309" s="1"/>
    </row>
    <row r="310" spans="2:2" x14ac:dyDescent="0.2">
      <c r="B310" s="1"/>
    </row>
    <row r="311" spans="2:2" x14ac:dyDescent="0.2">
      <c r="B311" s="1"/>
    </row>
    <row r="312" spans="2:2" x14ac:dyDescent="0.2">
      <c r="B312" s="1"/>
    </row>
    <row r="313" spans="2:2" x14ac:dyDescent="0.2">
      <c r="B313" s="1"/>
    </row>
    <row r="314" spans="2:2" x14ac:dyDescent="0.2">
      <c r="B314" s="1"/>
    </row>
    <row r="315" spans="2:2" x14ac:dyDescent="0.2">
      <c r="B315" s="1"/>
    </row>
    <row r="316" spans="2:2" x14ac:dyDescent="0.2">
      <c r="B316" s="1"/>
    </row>
    <row r="317" spans="2:2" x14ac:dyDescent="0.2">
      <c r="B317" s="1"/>
    </row>
    <row r="318" spans="2:2" x14ac:dyDescent="0.2">
      <c r="B318" s="1"/>
    </row>
    <row r="319" spans="2:2" x14ac:dyDescent="0.2">
      <c r="B319" s="1"/>
    </row>
    <row r="320" spans="2:2" x14ac:dyDescent="0.2">
      <c r="B320" s="1"/>
    </row>
    <row r="321" spans="2:2" x14ac:dyDescent="0.2">
      <c r="B321" s="1"/>
    </row>
    <row r="322" spans="2:2" x14ac:dyDescent="0.2">
      <c r="B322" s="1"/>
    </row>
    <row r="323" spans="2:2" x14ac:dyDescent="0.2">
      <c r="B323" s="1"/>
    </row>
    <row r="324" spans="2:2" x14ac:dyDescent="0.2">
      <c r="B324" s="1"/>
    </row>
    <row r="325" spans="2:2" x14ac:dyDescent="0.2">
      <c r="B325" s="1"/>
    </row>
    <row r="326" spans="2:2" x14ac:dyDescent="0.2">
      <c r="B326" s="1"/>
    </row>
    <row r="327" spans="2:2" x14ac:dyDescent="0.2">
      <c r="B327" s="1"/>
    </row>
    <row r="328" spans="2:2" x14ac:dyDescent="0.2">
      <c r="B328" s="1"/>
    </row>
    <row r="329" spans="2:2" x14ac:dyDescent="0.2">
      <c r="B329" s="1"/>
    </row>
    <row r="330" spans="2:2" x14ac:dyDescent="0.2">
      <c r="B330" s="1"/>
    </row>
    <row r="331" spans="2:2" x14ac:dyDescent="0.2">
      <c r="B331" s="1"/>
    </row>
    <row r="332" spans="2:2" x14ac:dyDescent="0.2">
      <c r="B332" s="1"/>
    </row>
    <row r="333" spans="2:2" x14ac:dyDescent="0.2">
      <c r="B333" s="1"/>
    </row>
    <row r="334" spans="2:2" x14ac:dyDescent="0.2">
      <c r="B334" s="1"/>
    </row>
    <row r="335" spans="2:2" x14ac:dyDescent="0.2">
      <c r="B335" s="1"/>
    </row>
    <row r="336" spans="2:2" x14ac:dyDescent="0.2">
      <c r="B336" s="1"/>
    </row>
    <row r="337" spans="2:2" x14ac:dyDescent="0.2">
      <c r="B337" s="1"/>
    </row>
    <row r="338" spans="2:2" x14ac:dyDescent="0.2">
      <c r="B338" s="1"/>
    </row>
    <row r="339" spans="2:2" x14ac:dyDescent="0.2">
      <c r="B339" s="1"/>
    </row>
    <row r="340" spans="2:2" x14ac:dyDescent="0.2">
      <c r="B340" s="1"/>
    </row>
    <row r="341" spans="2:2" x14ac:dyDescent="0.2">
      <c r="B341" s="1"/>
    </row>
    <row r="342" spans="2:2" x14ac:dyDescent="0.2">
      <c r="B342" s="1"/>
    </row>
    <row r="343" spans="2:2" x14ac:dyDescent="0.2">
      <c r="B343" s="1"/>
    </row>
    <row r="344" spans="2:2" x14ac:dyDescent="0.2">
      <c r="B344" s="1"/>
    </row>
    <row r="345" spans="2:2" x14ac:dyDescent="0.2">
      <c r="B345" s="1"/>
    </row>
    <row r="346" spans="2:2" x14ac:dyDescent="0.2">
      <c r="B346" s="1"/>
    </row>
    <row r="347" spans="2:2" x14ac:dyDescent="0.2">
      <c r="B347" s="1"/>
    </row>
    <row r="348" spans="2:2" x14ac:dyDescent="0.2">
      <c r="B348" s="1"/>
    </row>
    <row r="349" spans="2:2" x14ac:dyDescent="0.2">
      <c r="B349" s="1"/>
    </row>
    <row r="350" spans="2:2" x14ac:dyDescent="0.2">
      <c r="B350" s="1"/>
    </row>
    <row r="351" spans="2:2" x14ac:dyDescent="0.2">
      <c r="B351" s="1"/>
    </row>
    <row r="352" spans="2:2" x14ac:dyDescent="0.2">
      <c r="B352" s="1"/>
    </row>
    <row r="353" spans="2:2" x14ac:dyDescent="0.2">
      <c r="B353" s="1"/>
    </row>
    <row r="354" spans="2:2" x14ac:dyDescent="0.2">
      <c r="B354" s="1"/>
    </row>
    <row r="355" spans="2:2" x14ac:dyDescent="0.2">
      <c r="B355" s="1"/>
    </row>
    <row r="356" spans="2:2" x14ac:dyDescent="0.2">
      <c r="B356" s="1"/>
    </row>
    <row r="357" spans="2:2" x14ac:dyDescent="0.2">
      <c r="B357" s="1"/>
    </row>
    <row r="358" spans="2:2" x14ac:dyDescent="0.2">
      <c r="B358" s="1"/>
    </row>
    <row r="359" spans="2:2" x14ac:dyDescent="0.2">
      <c r="B359" s="1"/>
    </row>
    <row r="360" spans="2:2" x14ac:dyDescent="0.2">
      <c r="B360" s="1"/>
    </row>
    <row r="361" spans="2:2" x14ac:dyDescent="0.2">
      <c r="B361" s="1"/>
    </row>
    <row r="362" spans="2:2" x14ac:dyDescent="0.2">
      <c r="B362" s="1"/>
    </row>
    <row r="363" spans="2:2" x14ac:dyDescent="0.2">
      <c r="B363" s="1"/>
    </row>
    <row r="364" spans="2:2" x14ac:dyDescent="0.2">
      <c r="B364" s="1"/>
    </row>
    <row r="365" spans="2:2" x14ac:dyDescent="0.2">
      <c r="B365" s="1"/>
    </row>
    <row r="366" spans="2:2" x14ac:dyDescent="0.2">
      <c r="B366" s="1"/>
    </row>
    <row r="367" spans="2:2" x14ac:dyDescent="0.2">
      <c r="B367" s="1"/>
    </row>
    <row r="368" spans="2:2" x14ac:dyDescent="0.2">
      <c r="B368" s="1"/>
    </row>
    <row r="369" spans="2:2" x14ac:dyDescent="0.2">
      <c r="B369" s="1"/>
    </row>
    <row r="370" spans="2:2" x14ac:dyDescent="0.2">
      <c r="B370" s="1"/>
    </row>
    <row r="371" spans="2:2" x14ac:dyDescent="0.2">
      <c r="B371" s="1"/>
    </row>
    <row r="372" spans="2:2" x14ac:dyDescent="0.2">
      <c r="B372" s="1"/>
    </row>
    <row r="373" spans="2:2" x14ac:dyDescent="0.2">
      <c r="B373" s="1"/>
    </row>
    <row r="374" spans="2:2" x14ac:dyDescent="0.2">
      <c r="B374" s="1"/>
    </row>
    <row r="375" spans="2:2" x14ac:dyDescent="0.2">
      <c r="B375" s="1"/>
    </row>
    <row r="376" spans="2:2" x14ac:dyDescent="0.2">
      <c r="B376" s="1"/>
    </row>
    <row r="377" spans="2:2" x14ac:dyDescent="0.2">
      <c r="B377" s="1"/>
    </row>
    <row r="378" spans="2:2" x14ac:dyDescent="0.2">
      <c r="B378" s="1"/>
    </row>
    <row r="379" spans="2:2" x14ac:dyDescent="0.2">
      <c r="B379" s="1"/>
    </row>
    <row r="380" spans="2:2" x14ac:dyDescent="0.2">
      <c r="B380" s="1"/>
    </row>
    <row r="381" spans="2:2" x14ac:dyDescent="0.2">
      <c r="B381" s="1"/>
    </row>
    <row r="382" spans="2:2" x14ac:dyDescent="0.2">
      <c r="B382" s="1"/>
    </row>
    <row r="383" spans="2:2" x14ac:dyDescent="0.2">
      <c r="B383" s="1"/>
    </row>
    <row r="384" spans="2:2" x14ac:dyDescent="0.2">
      <c r="B384" s="1"/>
    </row>
    <row r="385" spans="2:2" x14ac:dyDescent="0.2">
      <c r="B385" s="1"/>
    </row>
    <row r="386" spans="2:2" x14ac:dyDescent="0.2">
      <c r="B386" s="1"/>
    </row>
    <row r="387" spans="2:2" x14ac:dyDescent="0.2">
      <c r="B387" s="1"/>
    </row>
    <row r="388" spans="2:2" x14ac:dyDescent="0.2">
      <c r="B388" s="1"/>
    </row>
    <row r="389" spans="2:2" x14ac:dyDescent="0.2">
      <c r="B389" s="1"/>
    </row>
    <row r="390" spans="2:2" x14ac:dyDescent="0.2">
      <c r="B390" s="1"/>
    </row>
    <row r="391" spans="2:2" x14ac:dyDescent="0.2">
      <c r="B391" s="1"/>
    </row>
    <row r="392" spans="2:2" x14ac:dyDescent="0.2">
      <c r="B392" s="1"/>
    </row>
    <row r="393" spans="2:2" x14ac:dyDescent="0.2">
      <c r="B393" s="1"/>
    </row>
    <row r="394" spans="2:2" x14ac:dyDescent="0.2">
      <c r="B394" s="1"/>
    </row>
    <row r="395" spans="2:2" x14ac:dyDescent="0.2">
      <c r="B395" s="1"/>
    </row>
    <row r="396" spans="2:2" x14ac:dyDescent="0.2">
      <c r="B396" s="1"/>
    </row>
    <row r="397" spans="2:2" x14ac:dyDescent="0.2">
      <c r="B397" s="1"/>
    </row>
    <row r="398" spans="2:2" x14ac:dyDescent="0.2">
      <c r="B398" s="1"/>
    </row>
    <row r="399" spans="2:2" x14ac:dyDescent="0.2">
      <c r="B399" s="1"/>
    </row>
    <row r="400" spans="2:2" x14ac:dyDescent="0.2">
      <c r="B400" s="1"/>
    </row>
    <row r="401" spans="2:2" x14ac:dyDescent="0.2">
      <c r="B401" s="1"/>
    </row>
    <row r="402" spans="2:2" x14ac:dyDescent="0.2">
      <c r="B402" s="1"/>
    </row>
    <row r="403" spans="2:2" x14ac:dyDescent="0.2">
      <c r="B403" s="1"/>
    </row>
    <row r="404" spans="2:2" x14ac:dyDescent="0.2">
      <c r="B404" s="1"/>
    </row>
    <row r="405" spans="2:2" x14ac:dyDescent="0.2">
      <c r="B405" s="1"/>
    </row>
    <row r="406" spans="2:2" x14ac:dyDescent="0.2">
      <c r="B406" s="1"/>
    </row>
    <row r="407" spans="2:2" x14ac:dyDescent="0.2">
      <c r="B407" s="1"/>
    </row>
    <row r="408" spans="2:2" x14ac:dyDescent="0.2">
      <c r="B408" s="1"/>
    </row>
    <row r="409" spans="2:2" x14ac:dyDescent="0.2">
      <c r="B409" s="1"/>
    </row>
    <row r="410" spans="2:2" x14ac:dyDescent="0.2">
      <c r="B410" s="1"/>
    </row>
    <row r="411" spans="2:2" x14ac:dyDescent="0.2">
      <c r="B411" s="1"/>
    </row>
    <row r="412" spans="2:2" x14ac:dyDescent="0.2">
      <c r="B412" s="1"/>
    </row>
    <row r="413" spans="2:2" x14ac:dyDescent="0.2">
      <c r="B413" s="1"/>
    </row>
    <row r="414" spans="2:2" x14ac:dyDescent="0.2">
      <c r="B414" s="1"/>
    </row>
    <row r="415" spans="2:2" x14ac:dyDescent="0.2">
      <c r="B415" s="1"/>
    </row>
    <row r="416" spans="2:2" x14ac:dyDescent="0.2">
      <c r="B416" s="1"/>
    </row>
    <row r="417" spans="2:2" x14ac:dyDescent="0.2">
      <c r="B417" s="1"/>
    </row>
    <row r="418" spans="2:2" x14ac:dyDescent="0.2">
      <c r="B418" s="1"/>
    </row>
    <row r="419" spans="2:2" x14ac:dyDescent="0.2">
      <c r="B419" s="1"/>
    </row>
    <row r="420" spans="2:2" x14ac:dyDescent="0.2">
      <c r="B420" s="1"/>
    </row>
    <row r="421" spans="2:2" x14ac:dyDescent="0.2">
      <c r="B421" s="1"/>
    </row>
    <row r="422" spans="2:2" x14ac:dyDescent="0.2">
      <c r="B422" s="1"/>
    </row>
    <row r="423" spans="2:2" x14ac:dyDescent="0.2">
      <c r="B423" s="1"/>
    </row>
    <row r="424" spans="2:2" x14ac:dyDescent="0.2">
      <c r="B424" s="1"/>
    </row>
    <row r="425" spans="2:2" x14ac:dyDescent="0.2">
      <c r="B425" s="1"/>
    </row>
    <row r="426" spans="2:2" x14ac:dyDescent="0.2">
      <c r="B426" s="1"/>
    </row>
    <row r="427" spans="2:2" x14ac:dyDescent="0.2">
      <c r="B427" s="1"/>
    </row>
    <row r="428" spans="2:2" x14ac:dyDescent="0.2">
      <c r="B428" s="1"/>
    </row>
    <row r="429" spans="2:2" x14ac:dyDescent="0.2">
      <c r="B429" s="1"/>
    </row>
    <row r="430" spans="2:2" x14ac:dyDescent="0.2">
      <c r="B430" s="1"/>
    </row>
    <row r="431" spans="2:2" x14ac:dyDescent="0.2">
      <c r="B431" s="1"/>
    </row>
    <row r="432" spans="2:2" x14ac:dyDescent="0.2">
      <c r="B432" s="1"/>
    </row>
    <row r="433" spans="2:2" x14ac:dyDescent="0.2">
      <c r="B433" s="1"/>
    </row>
    <row r="434" spans="2:2" x14ac:dyDescent="0.2">
      <c r="B434" s="1"/>
    </row>
    <row r="435" spans="2:2" x14ac:dyDescent="0.2">
      <c r="B435" s="1"/>
    </row>
    <row r="436" spans="2:2" x14ac:dyDescent="0.2">
      <c r="B436" s="1"/>
    </row>
    <row r="437" spans="2:2" x14ac:dyDescent="0.2">
      <c r="B437" s="1"/>
    </row>
    <row r="438" spans="2:2" x14ac:dyDescent="0.2">
      <c r="B438" s="1"/>
    </row>
    <row r="439" spans="2:2" x14ac:dyDescent="0.2">
      <c r="B439" s="1"/>
    </row>
    <row r="440" spans="2:2" x14ac:dyDescent="0.2">
      <c r="B440" s="1"/>
    </row>
    <row r="441" spans="2:2" x14ac:dyDescent="0.2">
      <c r="B441" s="1"/>
    </row>
    <row r="442" spans="2:2" x14ac:dyDescent="0.2">
      <c r="B442" s="1"/>
    </row>
    <row r="443" spans="2:2" x14ac:dyDescent="0.2">
      <c r="B443" s="1"/>
    </row>
    <row r="444" spans="2:2" x14ac:dyDescent="0.2">
      <c r="B444" s="1"/>
    </row>
    <row r="445" spans="2:2" x14ac:dyDescent="0.2">
      <c r="B445" s="1"/>
    </row>
    <row r="446" spans="2:2" x14ac:dyDescent="0.2">
      <c r="B446" s="1"/>
    </row>
    <row r="447" spans="2:2" x14ac:dyDescent="0.2">
      <c r="B447" s="1"/>
    </row>
    <row r="448" spans="2:2" x14ac:dyDescent="0.2">
      <c r="B448" s="1"/>
    </row>
    <row r="449" spans="2:2" x14ac:dyDescent="0.2">
      <c r="B449" s="1"/>
    </row>
    <row r="450" spans="2:2" x14ac:dyDescent="0.2">
      <c r="B450" s="1"/>
    </row>
    <row r="451" spans="2:2" x14ac:dyDescent="0.2">
      <c r="B451" s="1"/>
    </row>
    <row r="452" spans="2:2" x14ac:dyDescent="0.2">
      <c r="B452" s="1"/>
    </row>
    <row r="453" spans="2:2" x14ac:dyDescent="0.2">
      <c r="B453" s="1"/>
    </row>
    <row r="454" spans="2:2" x14ac:dyDescent="0.2">
      <c r="B454" s="1"/>
    </row>
    <row r="455" spans="2:2" x14ac:dyDescent="0.2">
      <c r="B455" s="1"/>
    </row>
    <row r="456" spans="2:2" x14ac:dyDescent="0.2">
      <c r="B456" s="1"/>
    </row>
    <row r="457" spans="2:2" x14ac:dyDescent="0.2">
      <c r="B457" s="1"/>
    </row>
    <row r="458" spans="2:2" x14ac:dyDescent="0.2">
      <c r="B458" s="1"/>
    </row>
    <row r="459" spans="2:2" x14ac:dyDescent="0.2">
      <c r="B459" s="1"/>
    </row>
    <row r="460" spans="2:2" x14ac:dyDescent="0.2">
      <c r="B460" s="1"/>
    </row>
    <row r="461" spans="2:2" x14ac:dyDescent="0.2">
      <c r="B461" s="1"/>
    </row>
    <row r="462" spans="2:2" x14ac:dyDescent="0.2">
      <c r="B462" s="1"/>
    </row>
    <row r="463" spans="2:2" x14ac:dyDescent="0.2">
      <c r="B463" s="1"/>
    </row>
    <row r="464" spans="2:2" x14ac:dyDescent="0.2">
      <c r="B464" s="1"/>
    </row>
    <row r="465" spans="2:2" x14ac:dyDescent="0.2">
      <c r="B465" s="1"/>
    </row>
    <row r="466" spans="2:2" x14ac:dyDescent="0.2">
      <c r="B466" s="1"/>
    </row>
    <row r="467" spans="2:2" x14ac:dyDescent="0.2">
      <c r="B467" s="1"/>
    </row>
    <row r="468" spans="2:2" x14ac:dyDescent="0.2">
      <c r="B468" s="1"/>
    </row>
    <row r="469" spans="2:2" x14ac:dyDescent="0.2">
      <c r="B469" s="1"/>
    </row>
    <row r="470" spans="2:2" x14ac:dyDescent="0.2">
      <c r="B470" s="1"/>
    </row>
    <row r="471" spans="2:2" x14ac:dyDescent="0.2">
      <c r="B471" s="1"/>
    </row>
    <row r="472" spans="2:2" x14ac:dyDescent="0.2">
      <c r="B472" s="1"/>
    </row>
    <row r="473" spans="2:2" x14ac:dyDescent="0.2">
      <c r="B473" s="1"/>
    </row>
    <row r="474" spans="2:2" x14ac:dyDescent="0.2">
      <c r="B474" s="1"/>
    </row>
    <row r="475" spans="2:2" x14ac:dyDescent="0.2">
      <c r="B475" s="1"/>
    </row>
    <row r="476" spans="2:2" x14ac:dyDescent="0.2">
      <c r="B476" s="1"/>
    </row>
    <row r="477" spans="2:2" x14ac:dyDescent="0.2">
      <c r="B477" s="1"/>
    </row>
    <row r="478" spans="2:2" x14ac:dyDescent="0.2">
      <c r="B478" s="1"/>
    </row>
    <row r="479" spans="2:2" x14ac:dyDescent="0.2">
      <c r="B479" s="1"/>
    </row>
    <row r="480" spans="2:2" x14ac:dyDescent="0.2">
      <c r="B480" s="1"/>
    </row>
    <row r="481" spans="2:2" x14ac:dyDescent="0.2">
      <c r="B481" s="1"/>
    </row>
    <row r="482" spans="2:2" x14ac:dyDescent="0.2">
      <c r="B482" s="1"/>
    </row>
    <row r="483" spans="2:2" x14ac:dyDescent="0.2">
      <c r="B483" s="1"/>
    </row>
    <row r="484" spans="2:2" x14ac:dyDescent="0.2">
      <c r="B484" s="1"/>
    </row>
    <row r="485" spans="2:2" x14ac:dyDescent="0.2">
      <c r="B485" s="1"/>
    </row>
    <row r="486" spans="2:2" x14ac:dyDescent="0.2">
      <c r="B486" s="1"/>
    </row>
    <row r="487" spans="2:2" x14ac:dyDescent="0.2">
      <c r="B487" s="1"/>
    </row>
    <row r="488" spans="2:2" x14ac:dyDescent="0.2">
      <c r="B488" s="1"/>
    </row>
    <row r="489" spans="2:2" x14ac:dyDescent="0.2">
      <c r="B489" s="1"/>
    </row>
    <row r="490" spans="2:2" x14ac:dyDescent="0.2">
      <c r="B490" s="1"/>
    </row>
    <row r="491" spans="2:2" x14ac:dyDescent="0.2">
      <c r="B491" s="1"/>
    </row>
    <row r="492" spans="2:2" x14ac:dyDescent="0.2">
      <c r="B492" s="1"/>
    </row>
    <row r="493" spans="2:2" x14ac:dyDescent="0.2">
      <c r="B493" s="1"/>
    </row>
    <row r="494" spans="2:2" x14ac:dyDescent="0.2">
      <c r="B494" s="1"/>
    </row>
    <row r="495" spans="2:2" x14ac:dyDescent="0.2">
      <c r="B495" s="1"/>
    </row>
    <row r="496" spans="2:2" x14ac:dyDescent="0.2">
      <c r="B496" s="1"/>
    </row>
    <row r="497" spans="2:2" x14ac:dyDescent="0.2">
      <c r="B497" s="1"/>
    </row>
    <row r="498" spans="2:2" x14ac:dyDescent="0.2">
      <c r="B498" s="1"/>
    </row>
    <row r="499" spans="2:2" x14ac:dyDescent="0.2">
      <c r="B499" s="1"/>
    </row>
    <row r="500" spans="2:2" x14ac:dyDescent="0.2">
      <c r="B500" s="1"/>
    </row>
    <row r="501" spans="2:2" x14ac:dyDescent="0.2">
      <c r="B501" s="1"/>
    </row>
    <row r="502" spans="2:2" x14ac:dyDescent="0.2">
      <c r="B502" s="1"/>
    </row>
    <row r="503" spans="2:2" x14ac:dyDescent="0.2">
      <c r="B503" s="1"/>
    </row>
    <row r="504" spans="2:2" x14ac:dyDescent="0.2">
      <c r="B504" s="1"/>
    </row>
    <row r="505" spans="2:2" x14ac:dyDescent="0.2">
      <c r="B505" s="1"/>
    </row>
    <row r="506" spans="2:2" x14ac:dyDescent="0.2">
      <c r="B506" s="1"/>
    </row>
    <row r="507" spans="2:2" x14ac:dyDescent="0.2">
      <c r="B507" s="1"/>
    </row>
    <row r="508" spans="2:2" x14ac:dyDescent="0.2">
      <c r="B508" s="1"/>
    </row>
    <row r="509" spans="2:2" x14ac:dyDescent="0.2">
      <c r="B509" s="1"/>
    </row>
    <row r="510" spans="2:2" x14ac:dyDescent="0.2">
      <c r="B510" s="1"/>
    </row>
    <row r="511" spans="2:2" x14ac:dyDescent="0.2">
      <c r="B511" s="1"/>
    </row>
    <row r="512" spans="2:2" x14ac:dyDescent="0.2">
      <c r="B512" s="1"/>
    </row>
    <row r="513" spans="2:2" x14ac:dyDescent="0.2">
      <c r="B513" s="1"/>
    </row>
    <row r="514" spans="2:2" x14ac:dyDescent="0.2">
      <c r="B514" s="1"/>
    </row>
    <row r="515" spans="2:2" x14ac:dyDescent="0.2">
      <c r="B515" s="1"/>
    </row>
    <row r="516" spans="2:2" x14ac:dyDescent="0.2">
      <c r="B516" s="1"/>
    </row>
    <row r="517" spans="2:2" x14ac:dyDescent="0.2">
      <c r="B517" s="1"/>
    </row>
    <row r="518" spans="2:2" x14ac:dyDescent="0.2">
      <c r="B518" s="1"/>
    </row>
    <row r="519" spans="2:2" x14ac:dyDescent="0.2">
      <c r="B519" s="1"/>
    </row>
    <row r="520" spans="2:2" x14ac:dyDescent="0.2">
      <c r="B520" s="1"/>
    </row>
    <row r="521" spans="2:2" x14ac:dyDescent="0.2">
      <c r="B521" s="1"/>
    </row>
    <row r="522" spans="2:2" x14ac:dyDescent="0.2">
      <c r="B522" s="1"/>
    </row>
    <row r="523" spans="2:2" x14ac:dyDescent="0.2">
      <c r="B523" s="1"/>
    </row>
    <row r="524" spans="2:2" x14ac:dyDescent="0.2">
      <c r="B524" s="1"/>
    </row>
    <row r="525" spans="2:2" x14ac:dyDescent="0.2">
      <c r="B525" s="1"/>
    </row>
    <row r="526" spans="2:2" x14ac:dyDescent="0.2">
      <c r="B526" s="1"/>
    </row>
    <row r="527" spans="2:2" x14ac:dyDescent="0.2">
      <c r="B527" s="1"/>
    </row>
    <row r="528" spans="2:2" x14ac:dyDescent="0.2">
      <c r="B528" s="1"/>
    </row>
    <row r="529" spans="2:2" x14ac:dyDescent="0.2">
      <c r="B529" s="1"/>
    </row>
    <row r="530" spans="2:2" x14ac:dyDescent="0.2">
      <c r="B530" s="1"/>
    </row>
    <row r="531" spans="2:2" x14ac:dyDescent="0.2">
      <c r="B531" s="1"/>
    </row>
    <row r="532" spans="2:2" x14ac:dyDescent="0.2">
      <c r="B532" s="1"/>
    </row>
    <row r="533" spans="2:2" x14ac:dyDescent="0.2">
      <c r="B533" s="1"/>
    </row>
    <row r="534" spans="2:2" x14ac:dyDescent="0.2">
      <c r="B534" s="1"/>
    </row>
    <row r="535" spans="2:2" x14ac:dyDescent="0.2">
      <c r="B535" s="1"/>
    </row>
    <row r="536" spans="2:2" x14ac:dyDescent="0.2">
      <c r="B536" s="1"/>
    </row>
    <row r="537" spans="2:2" x14ac:dyDescent="0.2">
      <c r="B537" s="1"/>
    </row>
    <row r="538" spans="2:2" x14ac:dyDescent="0.2">
      <c r="B538" s="1"/>
    </row>
    <row r="539" spans="2:2" x14ac:dyDescent="0.2">
      <c r="B539" s="1"/>
    </row>
    <row r="540" spans="2:2" x14ac:dyDescent="0.2">
      <c r="B540" s="1"/>
    </row>
    <row r="541" spans="2:2" x14ac:dyDescent="0.2">
      <c r="B541" s="1"/>
    </row>
    <row r="542" spans="2:2" x14ac:dyDescent="0.2">
      <c r="B542" s="1"/>
    </row>
    <row r="543" spans="2:2" x14ac:dyDescent="0.2">
      <c r="B543" s="1"/>
    </row>
    <row r="544" spans="2:2" x14ac:dyDescent="0.2">
      <c r="B544" s="1"/>
    </row>
    <row r="545" spans="2:2" x14ac:dyDescent="0.2">
      <c r="B545" s="1"/>
    </row>
    <row r="546" spans="2:2" x14ac:dyDescent="0.2">
      <c r="B546" s="1"/>
    </row>
    <row r="547" spans="2:2" x14ac:dyDescent="0.2">
      <c r="B547" s="1"/>
    </row>
    <row r="548" spans="2:2" x14ac:dyDescent="0.2">
      <c r="B548" s="1"/>
    </row>
    <row r="549" spans="2:2" x14ac:dyDescent="0.2">
      <c r="B549" s="1"/>
    </row>
    <row r="550" spans="2:2" x14ac:dyDescent="0.2">
      <c r="B550" s="1"/>
    </row>
    <row r="551" spans="2:2" x14ac:dyDescent="0.2">
      <c r="B551" s="1"/>
    </row>
    <row r="552" spans="2:2" x14ac:dyDescent="0.2">
      <c r="B552" s="1"/>
    </row>
    <row r="553" spans="2:2" x14ac:dyDescent="0.2">
      <c r="B553" s="1"/>
    </row>
    <row r="554" spans="2:2" x14ac:dyDescent="0.2">
      <c r="B554" s="1"/>
    </row>
    <row r="555" spans="2:2" x14ac:dyDescent="0.2">
      <c r="B555" s="1"/>
    </row>
    <row r="556" spans="2:2" x14ac:dyDescent="0.2">
      <c r="B556" s="1"/>
    </row>
    <row r="557" spans="2:2" x14ac:dyDescent="0.2">
      <c r="B557" s="1"/>
    </row>
    <row r="558" spans="2:2" x14ac:dyDescent="0.2">
      <c r="B558" s="1"/>
    </row>
    <row r="559" spans="2:2" x14ac:dyDescent="0.2">
      <c r="B559" s="1"/>
    </row>
    <row r="560" spans="2:2" x14ac:dyDescent="0.2">
      <c r="B560" s="1"/>
    </row>
    <row r="561" spans="2:2" x14ac:dyDescent="0.2">
      <c r="B561" s="1"/>
    </row>
    <row r="562" spans="2:2" x14ac:dyDescent="0.2">
      <c r="B562" s="1"/>
    </row>
    <row r="563" spans="2:2" x14ac:dyDescent="0.2">
      <c r="B563" s="1"/>
    </row>
    <row r="564" spans="2:2" x14ac:dyDescent="0.2">
      <c r="B564" s="1"/>
    </row>
    <row r="565" spans="2:2" x14ac:dyDescent="0.2">
      <c r="B565" s="1"/>
    </row>
    <row r="566" spans="2:2" x14ac:dyDescent="0.2">
      <c r="B566" s="1"/>
    </row>
    <row r="567" spans="2:2" x14ac:dyDescent="0.2">
      <c r="B567" s="1"/>
    </row>
    <row r="568" spans="2:2" x14ac:dyDescent="0.2">
      <c r="B568" s="1"/>
    </row>
    <row r="569" spans="2:2" x14ac:dyDescent="0.2">
      <c r="B569" s="1"/>
    </row>
    <row r="570" spans="2:2" x14ac:dyDescent="0.2">
      <c r="B570" s="1"/>
    </row>
    <row r="571" spans="2:2" x14ac:dyDescent="0.2">
      <c r="B571" s="1"/>
    </row>
    <row r="572" spans="2:2" x14ac:dyDescent="0.2">
      <c r="B572" s="1"/>
    </row>
    <row r="573" spans="2:2" x14ac:dyDescent="0.2">
      <c r="B573" s="1"/>
    </row>
    <row r="574" spans="2:2" x14ac:dyDescent="0.2">
      <c r="B574" s="1"/>
    </row>
    <row r="575" spans="2:2" x14ac:dyDescent="0.2">
      <c r="B575" s="1"/>
    </row>
    <row r="576" spans="2:2" x14ac:dyDescent="0.2">
      <c r="B576" s="1"/>
    </row>
    <row r="577" spans="2:2" x14ac:dyDescent="0.2">
      <c r="B577" s="1"/>
    </row>
    <row r="578" spans="2:2" x14ac:dyDescent="0.2">
      <c r="B578" s="1"/>
    </row>
    <row r="579" spans="2:2" x14ac:dyDescent="0.2">
      <c r="B579" s="1"/>
    </row>
    <row r="580" spans="2:2" x14ac:dyDescent="0.2">
      <c r="B580" s="1"/>
    </row>
    <row r="581" spans="2:2" x14ac:dyDescent="0.2">
      <c r="B581" s="1"/>
    </row>
    <row r="582" spans="2:2" x14ac:dyDescent="0.2">
      <c r="B582" s="1"/>
    </row>
    <row r="583" spans="2:2" x14ac:dyDescent="0.2">
      <c r="B583" s="1"/>
    </row>
    <row r="584" spans="2:2" x14ac:dyDescent="0.2">
      <c r="B584" s="1"/>
    </row>
    <row r="585" spans="2:2" x14ac:dyDescent="0.2">
      <c r="B585" s="1"/>
    </row>
    <row r="586" spans="2:2" x14ac:dyDescent="0.2">
      <c r="B586" s="1"/>
    </row>
    <row r="587" spans="2:2" x14ac:dyDescent="0.2">
      <c r="B587" s="1"/>
    </row>
    <row r="588" spans="2:2" x14ac:dyDescent="0.2">
      <c r="B588" s="1"/>
    </row>
    <row r="589" spans="2:2" x14ac:dyDescent="0.2">
      <c r="B589" s="1"/>
    </row>
    <row r="590" spans="2:2" x14ac:dyDescent="0.2">
      <c r="B590" s="1"/>
    </row>
    <row r="591" spans="2:2" x14ac:dyDescent="0.2">
      <c r="B591" s="1"/>
    </row>
    <row r="592" spans="2:2" x14ac:dyDescent="0.2">
      <c r="B592" s="1"/>
    </row>
    <row r="593" spans="2:2" x14ac:dyDescent="0.2">
      <c r="B593" s="1"/>
    </row>
    <row r="594" spans="2:2" x14ac:dyDescent="0.2">
      <c r="B594" s="1"/>
    </row>
    <row r="595" spans="2:2" x14ac:dyDescent="0.2">
      <c r="B595" s="1"/>
    </row>
    <row r="596" spans="2:2" x14ac:dyDescent="0.2">
      <c r="B596" s="1"/>
    </row>
    <row r="597" spans="2:2" x14ac:dyDescent="0.2">
      <c r="B597" s="1"/>
    </row>
    <row r="598" spans="2:2" x14ac:dyDescent="0.2">
      <c r="B598" s="1"/>
    </row>
    <row r="599" spans="2:2" x14ac:dyDescent="0.2">
      <c r="B599" s="1"/>
    </row>
    <row r="600" spans="2:2" x14ac:dyDescent="0.2">
      <c r="B600" s="1"/>
    </row>
    <row r="601" spans="2:2" x14ac:dyDescent="0.2">
      <c r="B601" s="1"/>
    </row>
    <row r="602" spans="2:2" x14ac:dyDescent="0.2">
      <c r="B602" s="1"/>
    </row>
    <row r="603" spans="2:2" x14ac:dyDescent="0.2">
      <c r="B603" s="1"/>
    </row>
    <row r="604" spans="2:2" x14ac:dyDescent="0.2">
      <c r="B604" s="1"/>
    </row>
    <row r="605" spans="2:2" x14ac:dyDescent="0.2">
      <c r="B605" s="1"/>
    </row>
    <row r="606" spans="2:2" x14ac:dyDescent="0.2">
      <c r="B606" s="1"/>
    </row>
    <row r="607" spans="2:2" x14ac:dyDescent="0.2">
      <c r="B607" s="1"/>
    </row>
    <row r="608" spans="2:2" x14ac:dyDescent="0.2">
      <c r="B608" s="1"/>
    </row>
    <row r="609" spans="2:2" x14ac:dyDescent="0.2">
      <c r="B609" s="1"/>
    </row>
    <row r="610" spans="2:2" x14ac:dyDescent="0.2">
      <c r="B610" s="1"/>
    </row>
    <row r="611" spans="2:2" x14ac:dyDescent="0.2">
      <c r="B611" s="1"/>
    </row>
    <row r="612" spans="2:2" x14ac:dyDescent="0.2">
      <c r="B612" s="1"/>
    </row>
    <row r="613" spans="2:2" x14ac:dyDescent="0.2">
      <c r="B613" s="1"/>
    </row>
    <row r="614" spans="2:2" x14ac:dyDescent="0.2">
      <c r="B614" s="1"/>
    </row>
    <row r="615" spans="2:2" x14ac:dyDescent="0.2">
      <c r="B615" s="1"/>
    </row>
    <row r="616" spans="2:2" x14ac:dyDescent="0.2">
      <c r="B616" s="1"/>
    </row>
    <row r="617" spans="2:2" x14ac:dyDescent="0.2">
      <c r="B617" s="1"/>
    </row>
    <row r="618" spans="2:2" x14ac:dyDescent="0.2">
      <c r="B618" s="1"/>
    </row>
    <row r="619" spans="2:2" x14ac:dyDescent="0.2">
      <c r="B619" s="1"/>
    </row>
    <row r="620" spans="2:2" x14ac:dyDescent="0.2">
      <c r="B620" s="1"/>
    </row>
    <row r="621" spans="2:2" x14ac:dyDescent="0.2">
      <c r="B621" s="1"/>
    </row>
    <row r="622" spans="2:2" x14ac:dyDescent="0.2">
      <c r="B622" s="1"/>
    </row>
    <row r="623" spans="2:2" x14ac:dyDescent="0.2">
      <c r="B623" s="1"/>
    </row>
    <row r="624" spans="2:2" x14ac:dyDescent="0.2">
      <c r="B624" s="1"/>
    </row>
    <row r="625" spans="2:2" x14ac:dyDescent="0.2">
      <c r="B625" s="1"/>
    </row>
    <row r="626" spans="2:2" x14ac:dyDescent="0.2">
      <c r="B626" s="1"/>
    </row>
    <row r="627" spans="2:2" x14ac:dyDescent="0.2">
      <c r="B627" s="1"/>
    </row>
    <row r="628" spans="2:2" x14ac:dyDescent="0.2">
      <c r="B628" s="1"/>
    </row>
    <row r="629" spans="2:2" x14ac:dyDescent="0.2">
      <c r="B629" s="1"/>
    </row>
    <row r="630" spans="2:2" x14ac:dyDescent="0.2">
      <c r="B630" s="1"/>
    </row>
    <row r="631" spans="2:2" x14ac:dyDescent="0.2">
      <c r="B631" s="1"/>
    </row>
    <row r="632" spans="2:2" x14ac:dyDescent="0.2">
      <c r="B632" s="1"/>
    </row>
    <row r="633" spans="2:2" x14ac:dyDescent="0.2">
      <c r="B633" s="1"/>
    </row>
    <row r="634" spans="2:2" x14ac:dyDescent="0.2">
      <c r="B634" s="1"/>
    </row>
    <row r="635" spans="2:2" x14ac:dyDescent="0.2">
      <c r="B635" s="1"/>
    </row>
    <row r="636" spans="2:2" x14ac:dyDescent="0.2">
      <c r="B636" s="1"/>
    </row>
    <row r="637" spans="2:2" x14ac:dyDescent="0.2">
      <c r="B637" s="1"/>
    </row>
    <row r="638" spans="2:2" x14ac:dyDescent="0.2">
      <c r="B638" s="1"/>
    </row>
    <row r="639" spans="2:2" x14ac:dyDescent="0.2">
      <c r="B639" s="1"/>
    </row>
    <row r="640" spans="2:2" x14ac:dyDescent="0.2">
      <c r="B640" s="1"/>
    </row>
    <row r="641" spans="2:2" x14ac:dyDescent="0.2">
      <c r="B641" s="1"/>
    </row>
    <row r="642" spans="2:2" x14ac:dyDescent="0.2">
      <c r="B642" s="1"/>
    </row>
    <row r="643" spans="2:2" x14ac:dyDescent="0.2">
      <c r="B643" s="1"/>
    </row>
    <row r="644" spans="2:2" x14ac:dyDescent="0.2">
      <c r="B644" s="1"/>
    </row>
    <row r="645" spans="2:2" x14ac:dyDescent="0.2">
      <c r="B645" s="1"/>
    </row>
    <row r="646" spans="2:2" x14ac:dyDescent="0.2">
      <c r="B646" s="1"/>
    </row>
    <row r="647" spans="2:2" x14ac:dyDescent="0.2">
      <c r="B647" s="1"/>
    </row>
    <row r="648" spans="2:2" x14ac:dyDescent="0.2">
      <c r="B648" s="1"/>
    </row>
    <row r="649" spans="2:2" x14ac:dyDescent="0.2">
      <c r="B649" s="1"/>
    </row>
    <row r="650" spans="2:2" x14ac:dyDescent="0.2">
      <c r="B650" s="1"/>
    </row>
    <row r="651" spans="2:2" x14ac:dyDescent="0.2">
      <c r="B651" s="1"/>
    </row>
    <row r="652" spans="2:2" x14ac:dyDescent="0.2">
      <c r="B652" s="1"/>
    </row>
    <row r="653" spans="2:2" x14ac:dyDescent="0.2">
      <c r="B653" s="1"/>
    </row>
    <row r="654" spans="2:2" x14ac:dyDescent="0.2">
      <c r="B654" s="1"/>
    </row>
    <row r="655" spans="2:2" x14ac:dyDescent="0.2">
      <c r="B655" s="1"/>
    </row>
    <row r="656" spans="2:2" x14ac:dyDescent="0.2">
      <c r="B656" s="1"/>
    </row>
    <row r="657" spans="2:2" x14ac:dyDescent="0.2">
      <c r="B657" s="1"/>
    </row>
    <row r="658" spans="2:2" x14ac:dyDescent="0.2">
      <c r="B658" s="1"/>
    </row>
    <row r="659" spans="2:2" x14ac:dyDescent="0.2">
      <c r="B659" s="1"/>
    </row>
    <row r="660" spans="2:2" x14ac:dyDescent="0.2">
      <c r="B660" s="1"/>
    </row>
    <row r="661" spans="2:2" x14ac:dyDescent="0.2">
      <c r="B661" s="1"/>
    </row>
    <row r="662" spans="2:2" x14ac:dyDescent="0.2">
      <c r="B662" s="1"/>
    </row>
    <row r="663" spans="2:2" x14ac:dyDescent="0.2">
      <c r="B663" s="1"/>
    </row>
    <row r="664" spans="2:2" x14ac:dyDescent="0.2">
      <c r="B664" s="1"/>
    </row>
    <row r="665" spans="2:2" x14ac:dyDescent="0.2">
      <c r="B665" s="1"/>
    </row>
    <row r="666" spans="2:2" x14ac:dyDescent="0.2">
      <c r="B666" s="1"/>
    </row>
    <row r="667" spans="2:2" x14ac:dyDescent="0.2">
      <c r="B667" s="1"/>
    </row>
    <row r="668" spans="2:2" x14ac:dyDescent="0.2">
      <c r="B668" s="1"/>
    </row>
    <row r="669" spans="2:2" x14ac:dyDescent="0.2">
      <c r="B669" s="1"/>
    </row>
    <row r="670" spans="2:2" x14ac:dyDescent="0.2">
      <c r="B670" s="1"/>
    </row>
    <row r="671" spans="2:2" x14ac:dyDescent="0.2">
      <c r="B671" s="1"/>
    </row>
    <row r="672" spans="2:2" x14ac:dyDescent="0.2">
      <c r="B672" s="1"/>
    </row>
    <row r="673" spans="2:2" x14ac:dyDescent="0.2">
      <c r="B673" s="1"/>
    </row>
    <row r="674" spans="2:2" x14ac:dyDescent="0.2">
      <c r="B674" s="1"/>
    </row>
    <row r="675" spans="2:2" x14ac:dyDescent="0.2">
      <c r="B675" s="1"/>
    </row>
    <row r="676" spans="2:2" x14ac:dyDescent="0.2">
      <c r="B676" s="1"/>
    </row>
    <row r="677" spans="2:2" x14ac:dyDescent="0.2">
      <c r="B677" s="1"/>
    </row>
    <row r="678" spans="2:2" x14ac:dyDescent="0.2">
      <c r="B678" s="1"/>
    </row>
    <row r="679" spans="2:2" x14ac:dyDescent="0.2">
      <c r="B679" s="1"/>
    </row>
    <row r="680" spans="2:2" x14ac:dyDescent="0.2">
      <c r="B680" s="1"/>
    </row>
    <row r="681" spans="2:2" x14ac:dyDescent="0.2">
      <c r="B681" s="1"/>
    </row>
    <row r="682" spans="2:2" x14ac:dyDescent="0.2">
      <c r="B682" s="1"/>
    </row>
    <row r="683" spans="2:2" x14ac:dyDescent="0.2">
      <c r="B683" s="1"/>
    </row>
    <row r="684" spans="2:2" x14ac:dyDescent="0.2">
      <c r="B684" s="1"/>
    </row>
    <row r="685" spans="2:2" x14ac:dyDescent="0.2">
      <c r="B685" s="1"/>
    </row>
    <row r="686" spans="2:2" x14ac:dyDescent="0.2">
      <c r="B686" s="1"/>
    </row>
    <row r="687" spans="2:2" x14ac:dyDescent="0.2">
      <c r="B687" s="1"/>
    </row>
    <row r="688" spans="2:2" x14ac:dyDescent="0.2">
      <c r="B688" s="1"/>
    </row>
    <row r="689" spans="2:2" x14ac:dyDescent="0.2">
      <c r="B689" s="1"/>
    </row>
    <row r="690" spans="2:2" x14ac:dyDescent="0.2">
      <c r="B690" s="1"/>
    </row>
    <row r="691" spans="2:2" x14ac:dyDescent="0.2">
      <c r="B691" s="1"/>
    </row>
    <row r="692" spans="2:2" x14ac:dyDescent="0.2">
      <c r="B692" s="1"/>
    </row>
    <row r="693" spans="2:2" x14ac:dyDescent="0.2">
      <c r="B693" s="1"/>
    </row>
    <row r="694" spans="2:2" x14ac:dyDescent="0.2">
      <c r="B694" s="1"/>
    </row>
    <row r="695" spans="2:2" x14ac:dyDescent="0.2">
      <c r="B695" s="1"/>
    </row>
    <row r="696" spans="2:2" x14ac:dyDescent="0.2">
      <c r="B696" s="1"/>
    </row>
    <row r="697" spans="2:2" x14ac:dyDescent="0.2">
      <c r="B697" s="1"/>
    </row>
    <row r="698" spans="2:2" x14ac:dyDescent="0.2">
      <c r="B698" s="1"/>
    </row>
    <row r="699" spans="2:2" x14ac:dyDescent="0.2">
      <c r="B699" s="1"/>
    </row>
    <row r="700" spans="2:2" x14ac:dyDescent="0.2">
      <c r="B700" s="1"/>
    </row>
    <row r="701" spans="2:2" x14ac:dyDescent="0.2">
      <c r="B701" s="1"/>
    </row>
    <row r="702" spans="2:2" x14ac:dyDescent="0.2">
      <c r="B702" s="1"/>
    </row>
    <row r="703" spans="2:2" x14ac:dyDescent="0.2">
      <c r="B703" s="1"/>
    </row>
    <row r="704" spans="2:2" x14ac:dyDescent="0.2">
      <c r="B704" s="1"/>
    </row>
    <row r="705" spans="2:2" x14ac:dyDescent="0.2">
      <c r="B705" s="1"/>
    </row>
    <row r="706" spans="2:2" x14ac:dyDescent="0.2">
      <c r="B706" s="1"/>
    </row>
    <row r="707" spans="2:2" x14ac:dyDescent="0.2">
      <c r="B707" s="1"/>
    </row>
    <row r="708" spans="2:2" x14ac:dyDescent="0.2">
      <c r="B708" s="1"/>
    </row>
    <row r="709" spans="2:2" x14ac:dyDescent="0.2">
      <c r="B709" s="1"/>
    </row>
    <row r="710" spans="2:2" x14ac:dyDescent="0.2">
      <c r="B710" s="1"/>
    </row>
    <row r="711" spans="2:2" x14ac:dyDescent="0.2">
      <c r="B711" s="1"/>
    </row>
    <row r="712" spans="2:2" x14ac:dyDescent="0.2">
      <c r="B712" s="1"/>
    </row>
    <row r="713" spans="2:2" x14ac:dyDescent="0.2">
      <c r="B713" s="1"/>
    </row>
    <row r="714" spans="2:2" x14ac:dyDescent="0.2">
      <c r="B714" s="1"/>
    </row>
    <row r="715" spans="2:2" x14ac:dyDescent="0.2">
      <c r="B715" s="1"/>
    </row>
    <row r="716" spans="2:2" x14ac:dyDescent="0.2">
      <c r="B716" s="1"/>
    </row>
    <row r="717" spans="2:2" x14ac:dyDescent="0.2">
      <c r="B717" s="1"/>
    </row>
    <row r="718" spans="2:2" x14ac:dyDescent="0.2">
      <c r="B718" s="1"/>
    </row>
    <row r="719" spans="2:2" x14ac:dyDescent="0.2">
      <c r="B719" s="1"/>
    </row>
    <row r="720" spans="2:2" x14ac:dyDescent="0.2">
      <c r="B720" s="1"/>
    </row>
    <row r="721" spans="2:2" x14ac:dyDescent="0.2">
      <c r="B721" s="1"/>
    </row>
    <row r="722" spans="2:2" x14ac:dyDescent="0.2">
      <c r="B722" s="1"/>
    </row>
    <row r="723" spans="2:2" x14ac:dyDescent="0.2">
      <c r="B723" s="1"/>
    </row>
    <row r="724" spans="2:2" x14ac:dyDescent="0.2">
      <c r="B724" s="1"/>
    </row>
    <row r="725" spans="2:2" x14ac:dyDescent="0.2">
      <c r="B725" s="1"/>
    </row>
    <row r="726" spans="2:2" x14ac:dyDescent="0.2">
      <c r="B726" s="1"/>
    </row>
    <row r="727" spans="2:2" x14ac:dyDescent="0.2">
      <c r="B727" s="1"/>
    </row>
    <row r="728" spans="2:2" x14ac:dyDescent="0.2">
      <c r="B728" s="1"/>
    </row>
    <row r="729" spans="2:2" x14ac:dyDescent="0.2">
      <c r="B729" s="1"/>
    </row>
    <row r="730" spans="2:2" x14ac:dyDescent="0.2">
      <c r="B730" s="1"/>
    </row>
    <row r="731" spans="2:2" x14ac:dyDescent="0.2">
      <c r="B731" s="1"/>
    </row>
    <row r="732" spans="2:2" x14ac:dyDescent="0.2">
      <c r="B732" s="1"/>
    </row>
    <row r="733" spans="2:2" x14ac:dyDescent="0.2">
      <c r="B733" s="1"/>
    </row>
    <row r="734" spans="2:2" x14ac:dyDescent="0.2">
      <c r="B734" s="1"/>
    </row>
    <row r="735" spans="2:2" x14ac:dyDescent="0.2">
      <c r="B735" s="1"/>
    </row>
    <row r="736" spans="2:2" x14ac:dyDescent="0.2">
      <c r="B736" s="1"/>
    </row>
    <row r="737" spans="2:2" x14ac:dyDescent="0.2">
      <c r="B737" s="1"/>
    </row>
    <row r="738" spans="2:2" x14ac:dyDescent="0.2">
      <c r="B738" s="1"/>
    </row>
    <row r="739" spans="2:2" x14ac:dyDescent="0.2">
      <c r="B739" s="1"/>
    </row>
    <row r="740" spans="2:2" x14ac:dyDescent="0.2">
      <c r="B740" s="1"/>
    </row>
    <row r="741" spans="2:2" x14ac:dyDescent="0.2">
      <c r="B741" s="1"/>
    </row>
    <row r="742" spans="2:2" x14ac:dyDescent="0.2">
      <c r="B742" s="1"/>
    </row>
    <row r="743" spans="2:2" x14ac:dyDescent="0.2">
      <c r="B743" s="1"/>
    </row>
    <row r="744" spans="2:2" x14ac:dyDescent="0.2">
      <c r="B744" s="1"/>
    </row>
    <row r="745" spans="2:2" x14ac:dyDescent="0.2">
      <c r="B745" s="1"/>
    </row>
    <row r="746" spans="2:2" x14ac:dyDescent="0.2">
      <c r="B746" s="1"/>
    </row>
    <row r="747" spans="2:2" x14ac:dyDescent="0.2">
      <c r="B747" s="1"/>
    </row>
    <row r="748" spans="2:2" x14ac:dyDescent="0.2">
      <c r="B748" s="1"/>
    </row>
    <row r="749" spans="2:2" x14ac:dyDescent="0.2">
      <c r="B749" s="1"/>
    </row>
    <row r="750" spans="2:2" x14ac:dyDescent="0.2">
      <c r="B750" s="1"/>
    </row>
    <row r="751" spans="2:2" x14ac:dyDescent="0.2">
      <c r="B751" s="1"/>
    </row>
    <row r="752" spans="2:2" x14ac:dyDescent="0.2">
      <c r="B752" s="1"/>
    </row>
    <row r="753" spans="2:2" x14ac:dyDescent="0.2">
      <c r="B753" s="1"/>
    </row>
    <row r="754" spans="2:2" x14ac:dyDescent="0.2">
      <c r="B754" s="1"/>
    </row>
    <row r="755" spans="2:2" x14ac:dyDescent="0.2">
      <c r="B755" s="1"/>
    </row>
    <row r="756" spans="2:2" x14ac:dyDescent="0.2">
      <c r="B756" s="1"/>
    </row>
    <row r="757" spans="2:2" x14ac:dyDescent="0.2">
      <c r="B757" s="1"/>
    </row>
    <row r="758" spans="2:2" x14ac:dyDescent="0.2">
      <c r="B758" s="1"/>
    </row>
    <row r="759" spans="2:2" x14ac:dyDescent="0.2">
      <c r="B759" s="1"/>
    </row>
    <row r="760" spans="2:2" x14ac:dyDescent="0.2">
      <c r="B760" s="1"/>
    </row>
    <row r="761" spans="2:2" x14ac:dyDescent="0.2">
      <c r="B761" s="1"/>
    </row>
    <row r="762" spans="2:2" x14ac:dyDescent="0.2">
      <c r="B762" s="1"/>
    </row>
    <row r="763" spans="2:2" x14ac:dyDescent="0.2">
      <c r="B763" s="1"/>
    </row>
    <row r="764" spans="2:2" x14ac:dyDescent="0.2">
      <c r="B764" s="1"/>
    </row>
    <row r="765" spans="2:2" x14ac:dyDescent="0.2">
      <c r="B765" s="1"/>
    </row>
    <row r="766" spans="2:2" x14ac:dyDescent="0.2">
      <c r="B766" s="1"/>
    </row>
    <row r="767" spans="2:2" x14ac:dyDescent="0.2">
      <c r="B767" s="1"/>
    </row>
    <row r="768" spans="2:2" x14ac:dyDescent="0.2">
      <c r="B768" s="1"/>
    </row>
    <row r="769" spans="2:2" x14ac:dyDescent="0.2">
      <c r="B769" s="1"/>
    </row>
    <row r="770" spans="2:2" x14ac:dyDescent="0.2">
      <c r="B770" s="1"/>
    </row>
    <row r="771" spans="2:2" x14ac:dyDescent="0.2">
      <c r="B771" s="1"/>
    </row>
    <row r="772" spans="2:2" x14ac:dyDescent="0.2">
      <c r="B772" s="1"/>
    </row>
    <row r="773" spans="2:2" x14ac:dyDescent="0.2">
      <c r="B773" s="1"/>
    </row>
    <row r="774" spans="2:2" x14ac:dyDescent="0.2">
      <c r="B774" s="1"/>
    </row>
    <row r="775" spans="2:2" x14ac:dyDescent="0.2">
      <c r="B775" s="1"/>
    </row>
    <row r="776" spans="2:2" x14ac:dyDescent="0.2">
      <c r="B776" s="1"/>
    </row>
    <row r="777" spans="2:2" x14ac:dyDescent="0.2">
      <c r="B777" s="1"/>
    </row>
    <row r="778" spans="2:2" x14ac:dyDescent="0.2">
      <c r="B778" s="1"/>
    </row>
    <row r="779" spans="2:2" x14ac:dyDescent="0.2">
      <c r="B779" s="1"/>
    </row>
    <row r="780" spans="2:2" x14ac:dyDescent="0.2">
      <c r="B780" s="1"/>
    </row>
    <row r="781" spans="2:2" x14ac:dyDescent="0.2">
      <c r="B781" s="1"/>
    </row>
    <row r="782" spans="2:2" x14ac:dyDescent="0.2">
      <c r="B782" s="1"/>
    </row>
    <row r="783" spans="2:2" x14ac:dyDescent="0.2">
      <c r="B783" s="1"/>
    </row>
    <row r="784" spans="2:2" x14ac:dyDescent="0.2">
      <c r="B784" s="1"/>
    </row>
    <row r="785" spans="2:2" x14ac:dyDescent="0.2">
      <c r="B785" s="1"/>
    </row>
    <row r="786" spans="2:2" x14ac:dyDescent="0.2">
      <c r="B786" s="1"/>
    </row>
    <row r="787" spans="2:2" x14ac:dyDescent="0.2">
      <c r="B787" s="1"/>
    </row>
    <row r="788" spans="2:2" x14ac:dyDescent="0.2">
      <c r="B788" s="1"/>
    </row>
    <row r="789" spans="2:2" x14ac:dyDescent="0.2">
      <c r="B789" s="1"/>
    </row>
    <row r="790" spans="2:2" x14ac:dyDescent="0.2">
      <c r="B790" s="1"/>
    </row>
    <row r="791" spans="2:2" x14ac:dyDescent="0.2">
      <c r="B791" s="1"/>
    </row>
    <row r="792" spans="2:2" x14ac:dyDescent="0.2">
      <c r="B792" s="1"/>
    </row>
    <row r="793" spans="2:2" x14ac:dyDescent="0.2">
      <c r="B793" s="1"/>
    </row>
    <row r="794" spans="2:2" x14ac:dyDescent="0.2">
      <c r="B794" s="1"/>
    </row>
    <row r="795" spans="2:2" x14ac:dyDescent="0.2">
      <c r="B795" s="1"/>
    </row>
    <row r="796" spans="2:2" x14ac:dyDescent="0.2">
      <c r="B796" s="1"/>
    </row>
    <row r="797" spans="2:2" x14ac:dyDescent="0.2">
      <c r="B797" s="1"/>
    </row>
    <row r="798" spans="2:2" x14ac:dyDescent="0.2">
      <c r="B798" s="1"/>
    </row>
    <row r="799" spans="2:2" x14ac:dyDescent="0.2">
      <c r="B799" s="1"/>
    </row>
    <row r="800" spans="2:2" x14ac:dyDescent="0.2">
      <c r="B800" s="1"/>
    </row>
    <row r="801" spans="2:2" x14ac:dyDescent="0.2">
      <c r="B801" s="1"/>
    </row>
    <row r="802" spans="2:2" x14ac:dyDescent="0.2">
      <c r="B802" s="1"/>
    </row>
    <row r="803" spans="2:2" x14ac:dyDescent="0.2">
      <c r="B803" s="1"/>
    </row>
    <row r="804" spans="2:2" x14ac:dyDescent="0.2">
      <c r="B804" s="1"/>
    </row>
    <row r="805" spans="2:2" x14ac:dyDescent="0.2">
      <c r="B805" s="1"/>
    </row>
    <row r="806" spans="2:2" x14ac:dyDescent="0.2">
      <c r="B806" s="1"/>
    </row>
    <row r="807" spans="2:2" x14ac:dyDescent="0.2">
      <c r="B807" s="1"/>
    </row>
    <row r="808" spans="2:2" x14ac:dyDescent="0.2">
      <c r="B808" s="1"/>
    </row>
    <row r="809" spans="2:2" x14ac:dyDescent="0.2">
      <c r="B809" s="1"/>
    </row>
    <row r="810" spans="2:2" x14ac:dyDescent="0.2">
      <c r="B810" s="1"/>
    </row>
    <row r="811" spans="2:2" x14ac:dyDescent="0.2">
      <c r="B811" s="1"/>
    </row>
    <row r="812" spans="2:2" x14ac:dyDescent="0.2">
      <c r="B812" s="1"/>
    </row>
    <row r="813" spans="2:2" x14ac:dyDescent="0.2">
      <c r="B813" s="1"/>
    </row>
    <row r="814" spans="2:2" x14ac:dyDescent="0.2">
      <c r="B814" s="1"/>
    </row>
    <row r="815" spans="2:2" x14ac:dyDescent="0.2">
      <c r="B815" s="1"/>
    </row>
    <row r="816" spans="2:2" x14ac:dyDescent="0.2">
      <c r="B816" s="1"/>
    </row>
    <row r="817" spans="2:2" x14ac:dyDescent="0.2">
      <c r="B817" s="1"/>
    </row>
    <row r="818" spans="2:2" x14ac:dyDescent="0.2">
      <c r="B818" s="1"/>
    </row>
    <row r="819" spans="2:2" x14ac:dyDescent="0.2">
      <c r="B819" s="1"/>
    </row>
    <row r="820" spans="2:2" x14ac:dyDescent="0.2">
      <c r="B820" s="1"/>
    </row>
    <row r="821" spans="2:2" x14ac:dyDescent="0.2">
      <c r="B821" s="1"/>
    </row>
    <row r="822" spans="2:2" x14ac:dyDescent="0.2">
      <c r="B822" s="1"/>
    </row>
    <row r="823" spans="2:2" x14ac:dyDescent="0.2">
      <c r="B823" s="1"/>
    </row>
    <row r="824" spans="2:2" x14ac:dyDescent="0.2">
      <c r="B824" s="1"/>
    </row>
    <row r="825" spans="2:2" x14ac:dyDescent="0.2">
      <c r="B825" s="1"/>
    </row>
    <row r="826" spans="2:2" x14ac:dyDescent="0.2">
      <c r="B826" s="1"/>
    </row>
    <row r="827" spans="2:2" x14ac:dyDescent="0.2">
      <c r="B827" s="1"/>
    </row>
    <row r="828" spans="2:2" x14ac:dyDescent="0.2">
      <c r="B828" s="1"/>
    </row>
    <row r="829" spans="2:2" x14ac:dyDescent="0.2">
      <c r="B829" s="1"/>
    </row>
    <row r="830" spans="2:2" x14ac:dyDescent="0.2">
      <c r="B830" s="1"/>
    </row>
    <row r="831" spans="2:2" x14ac:dyDescent="0.2">
      <c r="B831" s="1"/>
    </row>
    <row r="832" spans="2:2" x14ac:dyDescent="0.2">
      <c r="B832" s="1"/>
    </row>
    <row r="833" spans="2:2" x14ac:dyDescent="0.2">
      <c r="B833" s="1"/>
    </row>
    <row r="834" spans="2:2" x14ac:dyDescent="0.2">
      <c r="B834" s="1"/>
    </row>
    <row r="835" spans="2:2" x14ac:dyDescent="0.2">
      <c r="B835" s="1"/>
    </row>
    <row r="836" spans="2:2" x14ac:dyDescent="0.2">
      <c r="B836" s="1"/>
    </row>
    <row r="837" spans="2:2" x14ac:dyDescent="0.2">
      <c r="B837" s="1"/>
    </row>
    <row r="838" spans="2:2" x14ac:dyDescent="0.2">
      <c r="B838" s="1"/>
    </row>
    <row r="839" spans="2:2" x14ac:dyDescent="0.2">
      <c r="B839" s="1"/>
    </row>
    <row r="840" spans="2:2" x14ac:dyDescent="0.2">
      <c r="B840" s="1"/>
    </row>
    <row r="841" spans="2:2" x14ac:dyDescent="0.2">
      <c r="B841" s="1"/>
    </row>
    <row r="842" spans="2:2" x14ac:dyDescent="0.2">
      <c r="B842" s="1"/>
    </row>
    <row r="843" spans="2:2" x14ac:dyDescent="0.2">
      <c r="B843" s="1"/>
    </row>
    <row r="844" spans="2:2" x14ac:dyDescent="0.2">
      <c r="B844" s="1"/>
    </row>
    <row r="845" spans="2:2" x14ac:dyDescent="0.2">
      <c r="B845" s="1"/>
    </row>
    <row r="846" spans="2:2" x14ac:dyDescent="0.2">
      <c r="B846" s="1"/>
    </row>
    <row r="847" spans="2:2" x14ac:dyDescent="0.2">
      <c r="B847" s="1"/>
    </row>
    <row r="848" spans="2:2" x14ac:dyDescent="0.2">
      <c r="B848" s="1"/>
    </row>
    <row r="849" spans="2:2" x14ac:dyDescent="0.2">
      <c r="B849" s="1"/>
    </row>
    <row r="850" spans="2:2" x14ac:dyDescent="0.2">
      <c r="B850" s="1"/>
    </row>
    <row r="851" spans="2:2" x14ac:dyDescent="0.2">
      <c r="B851" s="1"/>
    </row>
    <row r="852" spans="2:2" x14ac:dyDescent="0.2">
      <c r="B852" s="1"/>
    </row>
    <row r="853" spans="2:2" x14ac:dyDescent="0.2">
      <c r="B853" s="1"/>
    </row>
    <row r="854" spans="2:2" x14ac:dyDescent="0.2">
      <c r="B854" s="1"/>
    </row>
    <row r="855" spans="2:2" x14ac:dyDescent="0.2">
      <c r="B855" s="1"/>
    </row>
    <row r="856" spans="2:2" x14ac:dyDescent="0.2">
      <c r="B856" s="1"/>
    </row>
    <row r="857" spans="2:2" x14ac:dyDescent="0.2">
      <c r="B857" s="1"/>
    </row>
    <row r="858" spans="2:2" x14ac:dyDescent="0.2">
      <c r="B858" s="1"/>
    </row>
    <row r="859" spans="2:2" x14ac:dyDescent="0.2">
      <c r="B859" s="1"/>
    </row>
    <row r="860" spans="2:2" x14ac:dyDescent="0.2">
      <c r="B860" s="1"/>
    </row>
    <row r="861" spans="2:2" x14ac:dyDescent="0.2">
      <c r="B861" s="1"/>
    </row>
    <row r="862" spans="2:2" x14ac:dyDescent="0.2">
      <c r="B862" s="1"/>
    </row>
    <row r="863" spans="2:2" x14ac:dyDescent="0.2">
      <c r="B863" s="1"/>
    </row>
    <row r="864" spans="2:2" x14ac:dyDescent="0.2">
      <c r="B864" s="1"/>
    </row>
    <row r="865" spans="2:2" x14ac:dyDescent="0.2">
      <c r="B865" s="1"/>
    </row>
    <row r="866" spans="2:2" x14ac:dyDescent="0.2">
      <c r="B866" s="1"/>
    </row>
    <row r="867" spans="2:2" x14ac:dyDescent="0.2">
      <c r="B867" s="1"/>
    </row>
    <row r="868" spans="2:2" x14ac:dyDescent="0.2">
      <c r="B868" s="1"/>
    </row>
    <row r="869" spans="2:2" x14ac:dyDescent="0.2">
      <c r="B869" s="1"/>
    </row>
    <row r="870" spans="2:2" x14ac:dyDescent="0.2">
      <c r="B870" s="1"/>
    </row>
    <row r="871" spans="2:2" x14ac:dyDescent="0.2">
      <c r="B871" s="1"/>
    </row>
    <row r="872" spans="2:2" x14ac:dyDescent="0.2">
      <c r="B872" s="1"/>
    </row>
    <row r="873" spans="2:2" x14ac:dyDescent="0.2">
      <c r="B873" s="1"/>
    </row>
    <row r="874" spans="2:2" x14ac:dyDescent="0.2">
      <c r="B874" s="1"/>
    </row>
    <row r="875" spans="2:2" x14ac:dyDescent="0.2">
      <c r="B875" s="1"/>
    </row>
    <row r="876" spans="2:2" x14ac:dyDescent="0.2">
      <c r="B876" s="1"/>
    </row>
    <row r="877" spans="2:2" x14ac:dyDescent="0.2">
      <c r="B877" s="1"/>
    </row>
    <row r="878" spans="2:2" x14ac:dyDescent="0.2">
      <c r="B878" s="1"/>
    </row>
    <row r="879" spans="2:2" x14ac:dyDescent="0.2">
      <c r="B879" s="1"/>
    </row>
    <row r="880" spans="2:2" x14ac:dyDescent="0.2">
      <c r="B880" s="1"/>
    </row>
    <row r="881" spans="2:2" x14ac:dyDescent="0.2">
      <c r="B881" s="1"/>
    </row>
    <row r="882" spans="2:2" x14ac:dyDescent="0.2">
      <c r="B882" s="1"/>
    </row>
    <row r="883" spans="2:2" x14ac:dyDescent="0.2">
      <c r="B883" s="1"/>
    </row>
    <row r="884" spans="2:2" x14ac:dyDescent="0.2">
      <c r="B884" s="1"/>
    </row>
    <row r="885" spans="2:2" x14ac:dyDescent="0.2">
      <c r="B885" s="1"/>
    </row>
    <row r="886" spans="2:2" x14ac:dyDescent="0.2">
      <c r="B886" s="1"/>
    </row>
    <row r="887" spans="2:2" x14ac:dyDescent="0.2">
      <c r="B887" s="1"/>
    </row>
    <row r="888" spans="2:2" x14ac:dyDescent="0.2">
      <c r="B888" s="1"/>
    </row>
    <row r="889" spans="2:2" x14ac:dyDescent="0.2">
      <c r="B889" s="1"/>
    </row>
    <row r="890" spans="2:2" x14ac:dyDescent="0.2">
      <c r="B890" s="1"/>
    </row>
    <row r="891" spans="2:2" x14ac:dyDescent="0.2">
      <c r="B891" s="1"/>
    </row>
    <row r="892" spans="2:2" x14ac:dyDescent="0.2">
      <c r="B892" s="1"/>
    </row>
    <row r="893" spans="2:2" x14ac:dyDescent="0.2">
      <c r="B893" s="1"/>
    </row>
    <row r="894" spans="2:2" x14ac:dyDescent="0.2">
      <c r="B894" s="1"/>
    </row>
    <row r="895" spans="2:2" x14ac:dyDescent="0.2">
      <c r="B895" s="1"/>
    </row>
    <row r="896" spans="2:2" x14ac:dyDescent="0.2">
      <c r="B896" s="1"/>
    </row>
    <row r="897" spans="2:2" x14ac:dyDescent="0.2">
      <c r="B897" s="1"/>
    </row>
    <row r="898" spans="2:2" x14ac:dyDescent="0.2">
      <c r="B898" s="1"/>
    </row>
    <row r="899" spans="2:2" x14ac:dyDescent="0.2">
      <c r="B899" s="1"/>
    </row>
    <row r="900" spans="2:2" x14ac:dyDescent="0.2">
      <c r="B900" s="1"/>
    </row>
    <row r="901" spans="2:2" x14ac:dyDescent="0.2">
      <c r="B901" s="1"/>
    </row>
    <row r="902" spans="2:2" x14ac:dyDescent="0.2">
      <c r="B902" s="1"/>
    </row>
    <row r="903" spans="2:2" x14ac:dyDescent="0.2">
      <c r="B903" s="1"/>
    </row>
    <row r="904" spans="2:2" x14ac:dyDescent="0.2">
      <c r="B904" s="1"/>
    </row>
    <row r="905" spans="2:2" x14ac:dyDescent="0.2">
      <c r="B905" s="1"/>
    </row>
    <row r="906" spans="2:2" x14ac:dyDescent="0.2">
      <c r="B906" s="1"/>
    </row>
    <row r="907" spans="2:2" x14ac:dyDescent="0.2">
      <c r="B907" s="1"/>
    </row>
    <row r="908" spans="2:2" x14ac:dyDescent="0.2">
      <c r="B908" s="1"/>
    </row>
    <row r="909" spans="2:2" x14ac:dyDescent="0.2">
      <c r="B909" s="1"/>
    </row>
    <row r="910" spans="2:2" x14ac:dyDescent="0.2">
      <c r="B910" s="1"/>
    </row>
    <row r="911" spans="2:2" x14ac:dyDescent="0.2">
      <c r="B911" s="1"/>
    </row>
    <row r="912" spans="2:2" x14ac:dyDescent="0.2">
      <c r="B912" s="1"/>
    </row>
    <row r="913" spans="2:2" x14ac:dyDescent="0.2">
      <c r="B913" s="1"/>
    </row>
    <row r="914" spans="2:2" x14ac:dyDescent="0.2">
      <c r="B914" s="1"/>
    </row>
    <row r="915" spans="2:2" x14ac:dyDescent="0.2">
      <c r="B915" s="1"/>
    </row>
    <row r="916" spans="2:2" x14ac:dyDescent="0.2">
      <c r="B916" s="1"/>
    </row>
    <row r="917" spans="2:2" x14ac:dyDescent="0.2">
      <c r="B917" s="1"/>
    </row>
    <row r="918" spans="2:2" x14ac:dyDescent="0.2">
      <c r="B918" s="1"/>
    </row>
    <row r="919" spans="2:2" x14ac:dyDescent="0.2">
      <c r="B919" s="1"/>
    </row>
    <row r="920" spans="2:2" x14ac:dyDescent="0.2">
      <c r="B920" s="1"/>
    </row>
    <row r="921" spans="2:2" x14ac:dyDescent="0.2">
      <c r="B921" s="1"/>
    </row>
    <row r="922" spans="2:2" x14ac:dyDescent="0.2">
      <c r="B922" s="1"/>
    </row>
    <row r="923" spans="2:2" x14ac:dyDescent="0.2">
      <c r="B923" s="1"/>
    </row>
    <row r="924" spans="2:2" x14ac:dyDescent="0.2">
      <c r="B924" s="1"/>
    </row>
    <row r="925" spans="2:2" x14ac:dyDescent="0.2">
      <c r="B925" s="1"/>
    </row>
    <row r="926" spans="2:2" x14ac:dyDescent="0.2">
      <c r="B926" s="1"/>
    </row>
    <row r="927" spans="2:2" x14ac:dyDescent="0.2">
      <c r="B927" s="1"/>
    </row>
    <row r="928" spans="2:2" x14ac:dyDescent="0.2">
      <c r="B928" s="1"/>
    </row>
    <row r="929" spans="2:2" x14ac:dyDescent="0.2">
      <c r="B929" s="1"/>
    </row>
    <row r="930" spans="2:2" x14ac:dyDescent="0.2">
      <c r="B930" s="1"/>
    </row>
    <row r="931" spans="2:2" x14ac:dyDescent="0.2">
      <c r="B931" s="1"/>
    </row>
    <row r="932" spans="2:2" x14ac:dyDescent="0.2">
      <c r="B932" s="1"/>
    </row>
    <row r="933" spans="2:2" x14ac:dyDescent="0.2">
      <c r="B933" s="1"/>
    </row>
    <row r="934" spans="2:2" x14ac:dyDescent="0.2">
      <c r="B934" s="1"/>
    </row>
    <row r="935" spans="2:2" x14ac:dyDescent="0.2">
      <c r="B935" s="1"/>
    </row>
    <row r="936" spans="2:2" x14ac:dyDescent="0.2">
      <c r="B936" s="1"/>
    </row>
    <row r="937" spans="2:2" x14ac:dyDescent="0.2">
      <c r="B937" s="1"/>
    </row>
    <row r="938" spans="2:2" x14ac:dyDescent="0.2">
      <c r="B938" s="1"/>
    </row>
    <row r="939" spans="2:2" x14ac:dyDescent="0.2">
      <c r="B939" s="1"/>
    </row>
    <row r="940" spans="2:2" x14ac:dyDescent="0.2">
      <c r="B940" s="1"/>
    </row>
    <row r="941" spans="2:2" x14ac:dyDescent="0.2">
      <c r="B941" s="1"/>
    </row>
    <row r="942" spans="2:2" x14ac:dyDescent="0.2">
      <c r="B942" s="1"/>
    </row>
    <row r="943" spans="2:2" x14ac:dyDescent="0.2">
      <c r="B943" s="1"/>
    </row>
    <row r="944" spans="2:2" x14ac:dyDescent="0.2">
      <c r="B944" s="1"/>
    </row>
    <row r="945" spans="2:2" x14ac:dyDescent="0.2">
      <c r="B945" s="1"/>
    </row>
    <row r="946" spans="2:2" x14ac:dyDescent="0.2">
      <c r="B946" s="1"/>
    </row>
    <row r="947" spans="2:2" x14ac:dyDescent="0.2">
      <c r="B947" s="1"/>
    </row>
    <row r="948" spans="2:2" x14ac:dyDescent="0.2">
      <c r="B948" s="1"/>
    </row>
    <row r="949" spans="2:2" x14ac:dyDescent="0.2">
      <c r="B949" s="1"/>
    </row>
    <row r="950" spans="2:2" x14ac:dyDescent="0.2">
      <c r="B950" s="1"/>
    </row>
    <row r="951" spans="2:2" x14ac:dyDescent="0.2">
      <c r="B951" s="1"/>
    </row>
    <row r="952" spans="2:2" x14ac:dyDescent="0.2">
      <c r="B952" s="1"/>
    </row>
    <row r="953" spans="2:2" x14ac:dyDescent="0.2">
      <c r="B953" s="1"/>
    </row>
    <row r="954" spans="2:2" x14ac:dyDescent="0.2">
      <c r="B954" s="1"/>
    </row>
    <row r="955" spans="2:2" x14ac:dyDescent="0.2">
      <c r="B955" s="1"/>
    </row>
    <row r="956" spans="2:2" x14ac:dyDescent="0.2">
      <c r="B956" s="1"/>
    </row>
    <row r="957" spans="2:2" x14ac:dyDescent="0.2">
      <c r="B957" s="1"/>
    </row>
    <row r="958" spans="2:2" x14ac:dyDescent="0.2">
      <c r="B958" s="1"/>
    </row>
    <row r="959" spans="2:2" x14ac:dyDescent="0.2">
      <c r="B959" s="1"/>
    </row>
    <row r="960" spans="2:2" x14ac:dyDescent="0.2">
      <c r="B960" s="1"/>
    </row>
    <row r="961" spans="2:2" x14ac:dyDescent="0.2">
      <c r="B961" s="1"/>
    </row>
    <row r="962" spans="2:2" x14ac:dyDescent="0.2">
      <c r="B962" s="1"/>
    </row>
    <row r="963" spans="2:2" x14ac:dyDescent="0.2">
      <c r="B963" s="1"/>
    </row>
    <row r="964" spans="2:2" x14ac:dyDescent="0.2">
      <c r="B964" s="1"/>
    </row>
    <row r="965" spans="2:2" x14ac:dyDescent="0.2">
      <c r="B965" s="1"/>
    </row>
    <row r="966" spans="2:2" x14ac:dyDescent="0.2">
      <c r="B966" s="1"/>
    </row>
    <row r="967" spans="2:2" x14ac:dyDescent="0.2">
      <c r="B967" s="1"/>
    </row>
    <row r="968" spans="2:2" x14ac:dyDescent="0.2">
      <c r="B968" s="1"/>
    </row>
    <row r="969" spans="2:2" x14ac:dyDescent="0.2">
      <c r="B969" s="1"/>
    </row>
    <row r="970" spans="2:2" x14ac:dyDescent="0.2">
      <c r="B970" s="1"/>
    </row>
    <row r="971" spans="2:2" x14ac:dyDescent="0.2">
      <c r="B971" s="1"/>
    </row>
    <row r="972" spans="2:2" x14ac:dyDescent="0.2">
      <c r="B972" s="1"/>
    </row>
    <row r="973" spans="2:2" x14ac:dyDescent="0.2">
      <c r="B973" s="1"/>
    </row>
    <row r="974" spans="2:2" x14ac:dyDescent="0.2">
      <c r="B974" s="1"/>
    </row>
    <row r="975" spans="2:2" x14ac:dyDescent="0.2">
      <c r="B975" s="1"/>
    </row>
    <row r="976" spans="2:2" x14ac:dyDescent="0.2">
      <c r="B976" s="1"/>
    </row>
    <row r="977" spans="2:2" x14ac:dyDescent="0.2">
      <c r="B977" s="1"/>
    </row>
    <row r="978" spans="2:2" x14ac:dyDescent="0.2">
      <c r="B978" s="1"/>
    </row>
    <row r="979" spans="2:2" x14ac:dyDescent="0.2">
      <c r="B979" s="1"/>
    </row>
    <row r="980" spans="2:2" x14ac:dyDescent="0.2">
      <c r="B980" s="1"/>
    </row>
    <row r="981" spans="2:2" x14ac:dyDescent="0.2">
      <c r="B981" s="1"/>
    </row>
    <row r="982" spans="2:2" x14ac:dyDescent="0.2">
      <c r="B982" s="1"/>
    </row>
    <row r="983" spans="2:2" x14ac:dyDescent="0.2">
      <c r="B983" s="1"/>
    </row>
    <row r="984" spans="2:2" x14ac:dyDescent="0.2">
      <c r="B984" s="1"/>
    </row>
    <row r="985" spans="2:2" x14ac:dyDescent="0.2">
      <c r="B985" s="1"/>
    </row>
    <row r="986" spans="2:2" x14ac:dyDescent="0.2">
      <c r="B986" s="1"/>
    </row>
    <row r="987" spans="2:2" x14ac:dyDescent="0.2">
      <c r="B987" s="1"/>
    </row>
    <row r="988" spans="2:2" x14ac:dyDescent="0.2">
      <c r="B988" s="1"/>
    </row>
    <row r="989" spans="2:2" x14ac:dyDescent="0.2">
      <c r="B989" s="1"/>
    </row>
    <row r="990" spans="2:2" x14ac:dyDescent="0.2">
      <c r="B990" s="1"/>
    </row>
    <row r="991" spans="2:2" x14ac:dyDescent="0.2">
      <c r="B991" s="1"/>
    </row>
    <row r="992" spans="2:2" x14ac:dyDescent="0.2">
      <c r="B992" s="1"/>
    </row>
  </sheetData>
  <dataValidations count="1">
    <dataValidation type="custom" allowBlank="1" showDropDown="1" sqref="K16:K18 O16:O17 Q16:Q17 M16:M17 E17:I18 E16:F16 H16:I16 S16:S17" xr:uid="{961EB97A-552F-4A31-AF09-C6304E7B6FF9}">
      <formula1>AND(ISNUMBER(E16),(NOT(OR(NOT(ISERROR(DATEVALUE(E16))), AND(ISNUMBER(E16), LEFT(CELL("format", E16))="D")))))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4"/>
  <sheetViews>
    <sheetView workbookViewId="0">
      <selection activeCell="C20" sqref="C20"/>
    </sheetView>
  </sheetViews>
  <sheetFormatPr baseColWidth="10" defaultColWidth="12.5703125" defaultRowHeight="15.75" customHeight="1" x14ac:dyDescent="0.2"/>
  <cols>
    <col min="1" max="1" width="21.42578125" customWidth="1"/>
  </cols>
  <sheetData>
    <row r="1" spans="1:4" ht="12.75" x14ac:dyDescent="0.2">
      <c r="A1" s="2"/>
      <c r="B1" s="1"/>
      <c r="C1" s="19"/>
    </row>
    <row r="2" spans="1:4" ht="12.75" x14ac:dyDescent="0.2">
      <c r="A2" s="2"/>
      <c r="B2" s="9"/>
      <c r="C2" s="13"/>
    </row>
    <row r="3" spans="1:4" ht="12.75" x14ac:dyDescent="0.2">
      <c r="A3" s="2"/>
      <c r="B3" s="9"/>
      <c r="C3" s="13"/>
    </row>
    <row r="4" spans="1:4" ht="12.75" x14ac:dyDescent="0.2">
      <c r="A4" s="2"/>
      <c r="B4" s="9"/>
      <c r="D4" s="2"/>
    </row>
    <row r="5" spans="1:4" ht="12.75" x14ac:dyDescent="0.2">
      <c r="A5" s="2"/>
      <c r="B5" s="9"/>
      <c r="D5" s="2"/>
    </row>
    <row r="6" spans="1:4" ht="15.75" customHeight="1" x14ac:dyDescent="0.2">
      <c r="A6" s="2"/>
      <c r="B6" s="5"/>
    </row>
    <row r="7" spans="1:4" ht="15.75" customHeight="1" x14ac:dyDescent="0.2">
      <c r="A7" s="2"/>
      <c r="B7" s="5"/>
    </row>
    <row r="8" spans="1:4" ht="15.75" customHeight="1" x14ac:dyDescent="0.2">
      <c r="A8" s="2"/>
      <c r="B8" s="5"/>
    </row>
    <row r="9" spans="1:4" ht="15.75" customHeight="1" x14ac:dyDescent="0.2">
      <c r="A9" s="2"/>
      <c r="B9" s="6"/>
    </row>
    <row r="10" spans="1:4" ht="15.75" customHeight="1" x14ac:dyDescent="0.2">
      <c r="A10" s="2"/>
      <c r="B10" s="5"/>
    </row>
    <row r="11" spans="1:4" ht="12.75" x14ac:dyDescent="0.2">
      <c r="A11" s="2"/>
      <c r="B11" s="9"/>
    </row>
    <row r="12" spans="1:4" ht="12.75" x14ac:dyDescent="0.2">
      <c r="A12" s="2"/>
      <c r="B12" s="9"/>
    </row>
    <row r="13" spans="1:4" ht="12.75" x14ac:dyDescent="0.2">
      <c r="A13" s="2"/>
      <c r="B13" s="9"/>
    </row>
    <row r="14" spans="1:4" ht="12.75" x14ac:dyDescent="0.2">
      <c r="A14" s="2"/>
      <c r="B14" s="3"/>
    </row>
    <row r="15" spans="1:4" ht="12.75" x14ac:dyDescent="0.2">
      <c r="A15" s="4"/>
      <c r="B15" s="3"/>
    </row>
    <row r="16" spans="1:4" ht="12.75" x14ac:dyDescent="0.2">
      <c r="A16" s="2"/>
      <c r="B16" s="1"/>
    </row>
    <row r="17" spans="1:2" ht="12.75" x14ac:dyDescent="0.2">
      <c r="B17" s="1"/>
    </row>
    <row r="18" spans="1:2" ht="12.75" x14ac:dyDescent="0.2">
      <c r="B18" s="1"/>
    </row>
    <row r="19" spans="1:2" ht="12.75" x14ac:dyDescent="0.2">
      <c r="B19" s="1"/>
    </row>
    <row r="20" spans="1:2" ht="12.75" x14ac:dyDescent="0.2">
      <c r="B20" s="1"/>
    </row>
    <row r="21" spans="1:2" ht="12.75" x14ac:dyDescent="0.2">
      <c r="B21" s="1"/>
    </row>
    <row r="22" spans="1:2" ht="12.75" x14ac:dyDescent="0.2">
      <c r="B22" s="1"/>
    </row>
    <row r="23" spans="1:2" ht="12.75" x14ac:dyDescent="0.2">
      <c r="B23" s="1"/>
    </row>
    <row r="24" spans="1:2" ht="12.75" x14ac:dyDescent="0.2">
      <c r="A24" s="8"/>
      <c r="B24" s="3"/>
    </row>
    <row r="25" spans="1:2" ht="12.75" x14ac:dyDescent="0.2">
      <c r="B25" s="1"/>
    </row>
    <row r="26" spans="1:2" ht="12.75" x14ac:dyDescent="0.2">
      <c r="B26" s="1"/>
    </row>
    <row r="27" spans="1:2" ht="12.75" x14ac:dyDescent="0.2">
      <c r="B27" s="1"/>
    </row>
    <row r="28" spans="1:2" ht="12.75" x14ac:dyDescent="0.2">
      <c r="B28" s="1"/>
    </row>
    <row r="29" spans="1:2" ht="12.75" x14ac:dyDescent="0.2">
      <c r="B29" s="1"/>
    </row>
    <row r="30" spans="1:2" ht="12.75" x14ac:dyDescent="0.2">
      <c r="B30" s="1"/>
    </row>
    <row r="31" spans="1:2" ht="12.75" x14ac:dyDescent="0.2">
      <c r="B31" s="1"/>
    </row>
    <row r="32" spans="1:2" ht="12.75" x14ac:dyDescent="0.2">
      <c r="B32" s="1"/>
    </row>
    <row r="33" spans="2:2" ht="12.75" x14ac:dyDescent="0.2">
      <c r="B33" s="1"/>
    </row>
    <row r="34" spans="2:2" ht="12.75" x14ac:dyDescent="0.2">
      <c r="B34" s="1"/>
    </row>
    <row r="35" spans="2:2" ht="12.75" x14ac:dyDescent="0.2">
      <c r="B35" s="1"/>
    </row>
    <row r="36" spans="2:2" ht="12.75" x14ac:dyDescent="0.2">
      <c r="B36" s="1"/>
    </row>
    <row r="37" spans="2:2" ht="12.75" x14ac:dyDescent="0.2">
      <c r="B37" s="1"/>
    </row>
    <row r="38" spans="2:2" ht="12.75" x14ac:dyDescent="0.2">
      <c r="B38" s="1"/>
    </row>
    <row r="39" spans="2:2" ht="12.75" x14ac:dyDescent="0.2">
      <c r="B39" s="1"/>
    </row>
    <row r="40" spans="2:2" ht="12.75" x14ac:dyDescent="0.2">
      <c r="B40" s="1"/>
    </row>
    <row r="41" spans="2:2" ht="12.75" x14ac:dyDescent="0.2">
      <c r="B41" s="1"/>
    </row>
    <row r="42" spans="2:2" ht="12.75" x14ac:dyDescent="0.2">
      <c r="B42" s="1"/>
    </row>
    <row r="43" spans="2:2" ht="12.75" x14ac:dyDescent="0.2">
      <c r="B43" s="1"/>
    </row>
    <row r="44" spans="2:2" ht="12.75" x14ac:dyDescent="0.2">
      <c r="B44" s="1"/>
    </row>
    <row r="45" spans="2:2" ht="12.75" x14ac:dyDescent="0.2">
      <c r="B45" s="1"/>
    </row>
    <row r="46" spans="2:2" ht="12.75" x14ac:dyDescent="0.2">
      <c r="B46" s="1"/>
    </row>
    <row r="47" spans="2:2" ht="12.75" x14ac:dyDescent="0.2">
      <c r="B47" s="1"/>
    </row>
    <row r="48" spans="2:2" ht="12.75" x14ac:dyDescent="0.2">
      <c r="B48" s="1"/>
    </row>
    <row r="49" spans="2:2" ht="12.75" x14ac:dyDescent="0.2">
      <c r="B49" s="1"/>
    </row>
    <row r="50" spans="2:2" ht="12.75" x14ac:dyDescent="0.2">
      <c r="B50" s="1"/>
    </row>
    <row r="51" spans="2:2" ht="12.75" x14ac:dyDescent="0.2">
      <c r="B51" s="1"/>
    </row>
    <row r="52" spans="2:2" ht="12.75" x14ac:dyDescent="0.2">
      <c r="B52" s="1"/>
    </row>
    <row r="53" spans="2:2" ht="12.75" x14ac:dyDescent="0.2">
      <c r="B53" s="1"/>
    </row>
    <row r="54" spans="2:2" ht="12.75" x14ac:dyDescent="0.2">
      <c r="B54" s="1"/>
    </row>
    <row r="55" spans="2:2" ht="12.75" x14ac:dyDescent="0.2">
      <c r="B55" s="1"/>
    </row>
    <row r="56" spans="2:2" ht="12.75" x14ac:dyDescent="0.2">
      <c r="B56" s="1"/>
    </row>
    <row r="57" spans="2:2" ht="12.75" x14ac:dyDescent="0.2">
      <c r="B57" s="1"/>
    </row>
    <row r="58" spans="2:2" ht="12.75" x14ac:dyDescent="0.2">
      <c r="B58" s="1"/>
    </row>
    <row r="59" spans="2:2" ht="12.75" x14ac:dyDescent="0.2">
      <c r="B59" s="1"/>
    </row>
    <row r="60" spans="2:2" ht="12.75" x14ac:dyDescent="0.2">
      <c r="B60" s="1"/>
    </row>
    <row r="61" spans="2:2" ht="12.75" x14ac:dyDescent="0.2">
      <c r="B61" s="1"/>
    </row>
    <row r="62" spans="2:2" ht="12.75" x14ac:dyDescent="0.2">
      <c r="B62" s="1"/>
    </row>
    <row r="63" spans="2:2" ht="12.75" x14ac:dyDescent="0.2">
      <c r="B63" s="1"/>
    </row>
    <row r="64" spans="2:2" ht="12.75" x14ac:dyDescent="0.2">
      <c r="B64" s="1"/>
    </row>
    <row r="65" spans="2:2" ht="12.75" x14ac:dyDescent="0.2">
      <c r="B65" s="1"/>
    </row>
    <row r="66" spans="2:2" ht="12.75" x14ac:dyDescent="0.2">
      <c r="B66" s="1"/>
    </row>
    <row r="67" spans="2:2" ht="12.75" x14ac:dyDescent="0.2">
      <c r="B67" s="1"/>
    </row>
    <row r="68" spans="2:2" ht="12.75" x14ac:dyDescent="0.2">
      <c r="B68" s="1"/>
    </row>
    <row r="69" spans="2:2" ht="12.75" x14ac:dyDescent="0.2">
      <c r="B69" s="1"/>
    </row>
    <row r="70" spans="2:2" ht="12.75" x14ac:dyDescent="0.2">
      <c r="B70" s="1"/>
    </row>
    <row r="71" spans="2:2" ht="12.75" x14ac:dyDescent="0.2">
      <c r="B71" s="1"/>
    </row>
    <row r="72" spans="2:2" ht="12.75" x14ac:dyDescent="0.2">
      <c r="B72" s="1"/>
    </row>
    <row r="73" spans="2:2" ht="12.75" x14ac:dyDescent="0.2">
      <c r="B73" s="1"/>
    </row>
    <row r="74" spans="2:2" ht="12.75" x14ac:dyDescent="0.2">
      <c r="B74" s="1"/>
    </row>
    <row r="75" spans="2:2" ht="12.75" x14ac:dyDescent="0.2">
      <c r="B75" s="1"/>
    </row>
    <row r="76" spans="2:2" ht="12.75" x14ac:dyDescent="0.2">
      <c r="B76" s="1"/>
    </row>
    <row r="77" spans="2:2" ht="12.75" x14ac:dyDescent="0.2">
      <c r="B77" s="1"/>
    </row>
    <row r="78" spans="2:2" ht="12.75" x14ac:dyDescent="0.2">
      <c r="B78" s="1"/>
    </row>
    <row r="79" spans="2:2" ht="12.75" x14ac:dyDescent="0.2">
      <c r="B79" s="1"/>
    </row>
    <row r="80" spans="2:2" ht="12.75" x14ac:dyDescent="0.2">
      <c r="B80" s="1"/>
    </row>
    <row r="81" spans="2:2" ht="12.75" x14ac:dyDescent="0.2">
      <c r="B81" s="1"/>
    </row>
    <row r="82" spans="2:2" ht="12.75" x14ac:dyDescent="0.2">
      <c r="B82" s="1"/>
    </row>
    <row r="83" spans="2:2" ht="12.75" x14ac:dyDescent="0.2">
      <c r="B83" s="1"/>
    </row>
    <row r="84" spans="2:2" ht="12.75" x14ac:dyDescent="0.2">
      <c r="B84" s="1"/>
    </row>
    <row r="85" spans="2:2" ht="12.75" x14ac:dyDescent="0.2">
      <c r="B85" s="1"/>
    </row>
    <row r="86" spans="2:2" ht="12.75" x14ac:dyDescent="0.2">
      <c r="B86" s="1"/>
    </row>
    <row r="87" spans="2:2" ht="12.75" x14ac:dyDescent="0.2">
      <c r="B87" s="1"/>
    </row>
    <row r="88" spans="2:2" ht="12.75" x14ac:dyDescent="0.2">
      <c r="B88" s="1"/>
    </row>
    <row r="89" spans="2:2" ht="12.75" x14ac:dyDescent="0.2">
      <c r="B89" s="1"/>
    </row>
    <row r="90" spans="2:2" ht="12.75" x14ac:dyDescent="0.2">
      <c r="B90" s="1"/>
    </row>
    <row r="91" spans="2:2" ht="12.75" x14ac:dyDescent="0.2">
      <c r="B91" s="1"/>
    </row>
    <row r="92" spans="2:2" ht="12.75" x14ac:dyDescent="0.2">
      <c r="B92" s="1"/>
    </row>
    <row r="93" spans="2:2" ht="12.75" x14ac:dyDescent="0.2">
      <c r="B93" s="1"/>
    </row>
    <row r="94" spans="2:2" ht="12.75" x14ac:dyDescent="0.2">
      <c r="B94" s="1"/>
    </row>
    <row r="95" spans="2:2" ht="12.75" x14ac:dyDescent="0.2">
      <c r="B95" s="1"/>
    </row>
    <row r="96" spans="2:2" ht="12.75" x14ac:dyDescent="0.2">
      <c r="B96" s="1"/>
    </row>
    <row r="97" spans="2:2" ht="12.75" x14ac:dyDescent="0.2">
      <c r="B97" s="1"/>
    </row>
    <row r="98" spans="2:2" ht="12.75" x14ac:dyDescent="0.2">
      <c r="B98" s="1"/>
    </row>
    <row r="99" spans="2:2" ht="12.75" x14ac:dyDescent="0.2">
      <c r="B99" s="1"/>
    </row>
    <row r="100" spans="2:2" ht="12.75" x14ac:dyDescent="0.2">
      <c r="B100" s="1"/>
    </row>
    <row r="101" spans="2:2" ht="12.75" x14ac:dyDescent="0.2">
      <c r="B101" s="1"/>
    </row>
    <row r="102" spans="2:2" ht="12.75" x14ac:dyDescent="0.2">
      <c r="B102" s="1"/>
    </row>
    <row r="103" spans="2:2" ht="12.75" x14ac:dyDescent="0.2">
      <c r="B103" s="1"/>
    </row>
    <row r="104" spans="2:2" ht="12.75" x14ac:dyDescent="0.2">
      <c r="B104" s="1"/>
    </row>
    <row r="105" spans="2:2" ht="12.75" x14ac:dyDescent="0.2">
      <c r="B105" s="1"/>
    </row>
    <row r="106" spans="2:2" ht="12.75" x14ac:dyDescent="0.2">
      <c r="B106" s="1"/>
    </row>
    <row r="107" spans="2:2" ht="12.75" x14ac:dyDescent="0.2">
      <c r="B107" s="1"/>
    </row>
    <row r="108" spans="2:2" ht="12.75" x14ac:dyDescent="0.2">
      <c r="B108" s="1"/>
    </row>
    <row r="109" spans="2:2" ht="12.75" x14ac:dyDescent="0.2">
      <c r="B109" s="1"/>
    </row>
    <row r="110" spans="2:2" ht="12.75" x14ac:dyDescent="0.2">
      <c r="B110" s="1"/>
    </row>
    <row r="111" spans="2:2" ht="12.75" x14ac:dyDescent="0.2">
      <c r="B111" s="1"/>
    </row>
    <row r="112" spans="2:2" ht="12.75" x14ac:dyDescent="0.2">
      <c r="B112" s="1"/>
    </row>
    <row r="113" spans="2:2" ht="12.75" x14ac:dyDescent="0.2">
      <c r="B113" s="1"/>
    </row>
    <row r="114" spans="2:2" ht="12.75" x14ac:dyDescent="0.2">
      <c r="B114" s="1"/>
    </row>
    <row r="115" spans="2:2" ht="12.75" x14ac:dyDescent="0.2">
      <c r="B115" s="1"/>
    </row>
    <row r="116" spans="2:2" ht="12.75" x14ac:dyDescent="0.2">
      <c r="B116" s="1"/>
    </row>
    <row r="117" spans="2:2" ht="12.75" x14ac:dyDescent="0.2">
      <c r="B117" s="1"/>
    </row>
    <row r="118" spans="2:2" ht="12.75" x14ac:dyDescent="0.2">
      <c r="B118" s="1"/>
    </row>
    <row r="119" spans="2:2" ht="12.75" x14ac:dyDescent="0.2">
      <c r="B119" s="1"/>
    </row>
    <row r="120" spans="2:2" ht="12.75" x14ac:dyDescent="0.2">
      <c r="B120" s="1"/>
    </row>
    <row r="121" spans="2:2" ht="12.75" x14ac:dyDescent="0.2">
      <c r="B121" s="1"/>
    </row>
    <row r="122" spans="2:2" ht="12.75" x14ac:dyDescent="0.2">
      <c r="B122" s="1"/>
    </row>
    <row r="123" spans="2:2" ht="12.75" x14ac:dyDescent="0.2">
      <c r="B123" s="1"/>
    </row>
    <row r="124" spans="2:2" ht="12.75" x14ac:dyDescent="0.2">
      <c r="B124" s="1"/>
    </row>
    <row r="125" spans="2:2" ht="12.75" x14ac:dyDescent="0.2">
      <c r="B125" s="1"/>
    </row>
    <row r="126" spans="2:2" ht="12.75" x14ac:dyDescent="0.2">
      <c r="B126" s="1"/>
    </row>
    <row r="127" spans="2:2" ht="12.75" x14ac:dyDescent="0.2">
      <c r="B127" s="1"/>
    </row>
    <row r="128" spans="2:2" ht="12.75" x14ac:dyDescent="0.2">
      <c r="B128" s="1"/>
    </row>
    <row r="129" spans="2:2" ht="12.75" x14ac:dyDescent="0.2">
      <c r="B129" s="1"/>
    </row>
    <row r="130" spans="2:2" ht="12.75" x14ac:dyDescent="0.2">
      <c r="B130" s="1"/>
    </row>
    <row r="131" spans="2:2" ht="12.75" x14ac:dyDescent="0.2">
      <c r="B131" s="1"/>
    </row>
    <row r="132" spans="2:2" ht="12.75" x14ac:dyDescent="0.2">
      <c r="B132" s="1"/>
    </row>
    <row r="133" spans="2:2" ht="12.75" x14ac:dyDescent="0.2">
      <c r="B133" s="1"/>
    </row>
    <row r="134" spans="2:2" ht="12.75" x14ac:dyDescent="0.2">
      <c r="B134" s="1"/>
    </row>
    <row r="135" spans="2:2" ht="12.75" x14ac:dyDescent="0.2">
      <c r="B135" s="1"/>
    </row>
    <row r="136" spans="2:2" ht="12.75" x14ac:dyDescent="0.2">
      <c r="B136" s="1"/>
    </row>
    <row r="137" spans="2:2" ht="12.75" x14ac:dyDescent="0.2">
      <c r="B137" s="1"/>
    </row>
    <row r="138" spans="2:2" ht="12.75" x14ac:dyDescent="0.2">
      <c r="B138" s="1"/>
    </row>
    <row r="139" spans="2:2" ht="12.75" x14ac:dyDescent="0.2">
      <c r="B139" s="1"/>
    </row>
    <row r="140" spans="2:2" ht="12.75" x14ac:dyDescent="0.2">
      <c r="B140" s="1"/>
    </row>
    <row r="141" spans="2:2" ht="12.75" x14ac:dyDescent="0.2">
      <c r="B141" s="1"/>
    </row>
    <row r="142" spans="2:2" ht="12.75" x14ac:dyDescent="0.2">
      <c r="B142" s="1"/>
    </row>
    <row r="143" spans="2:2" ht="12.75" x14ac:dyDescent="0.2">
      <c r="B143" s="1"/>
    </row>
    <row r="144" spans="2:2" ht="12.75" x14ac:dyDescent="0.2">
      <c r="B144" s="1"/>
    </row>
    <row r="145" spans="2:2" ht="12.75" x14ac:dyDescent="0.2">
      <c r="B145" s="1"/>
    </row>
    <row r="146" spans="2:2" ht="12.75" x14ac:dyDescent="0.2">
      <c r="B146" s="1"/>
    </row>
    <row r="147" spans="2:2" ht="12.75" x14ac:dyDescent="0.2">
      <c r="B147" s="1"/>
    </row>
    <row r="148" spans="2:2" ht="12.75" x14ac:dyDescent="0.2">
      <c r="B148" s="1"/>
    </row>
    <row r="149" spans="2:2" ht="12.75" x14ac:dyDescent="0.2">
      <c r="B149" s="1"/>
    </row>
    <row r="150" spans="2:2" ht="12.75" x14ac:dyDescent="0.2">
      <c r="B150" s="1"/>
    </row>
    <row r="151" spans="2:2" ht="12.75" x14ac:dyDescent="0.2">
      <c r="B151" s="1"/>
    </row>
    <row r="152" spans="2:2" ht="12.75" x14ac:dyDescent="0.2">
      <c r="B152" s="1"/>
    </row>
    <row r="153" spans="2:2" ht="12.75" x14ac:dyDescent="0.2">
      <c r="B153" s="1"/>
    </row>
    <row r="154" spans="2:2" ht="12.75" x14ac:dyDescent="0.2">
      <c r="B154" s="1"/>
    </row>
    <row r="155" spans="2:2" ht="12.75" x14ac:dyDescent="0.2">
      <c r="B155" s="1"/>
    </row>
    <row r="156" spans="2:2" ht="12.75" x14ac:dyDescent="0.2">
      <c r="B156" s="1"/>
    </row>
    <row r="157" spans="2:2" ht="12.75" x14ac:dyDescent="0.2">
      <c r="B157" s="1"/>
    </row>
    <row r="158" spans="2:2" ht="12.75" x14ac:dyDescent="0.2">
      <c r="B158" s="1"/>
    </row>
    <row r="159" spans="2:2" ht="12.75" x14ac:dyDescent="0.2">
      <c r="B159" s="1"/>
    </row>
    <row r="160" spans="2:2" ht="12.75" x14ac:dyDescent="0.2">
      <c r="B160" s="1"/>
    </row>
    <row r="161" spans="2:2" ht="12.75" x14ac:dyDescent="0.2">
      <c r="B161" s="1"/>
    </row>
    <row r="162" spans="2:2" ht="12.75" x14ac:dyDescent="0.2">
      <c r="B162" s="1"/>
    </row>
    <row r="163" spans="2:2" ht="12.75" x14ac:dyDescent="0.2">
      <c r="B163" s="1"/>
    </row>
    <row r="164" spans="2:2" ht="12.75" x14ac:dyDescent="0.2">
      <c r="B164" s="1"/>
    </row>
    <row r="165" spans="2:2" ht="12.75" x14ac:dyDescent="0.2">
      <c r="B165" s="1"/>
    </row>
    <row r="166" spans="2:2" ht="12.75" x14ac:dyDescent="0.2">
      <c r="B166" s="1"/>
    </row>
    <row r="167" spans="2:2" ht="12.75" x14ac:dyDescent="0.2">
      <c r="B167" s="1"/>
    </row>
    <row r="168" spans="2:2" ht="12.75" x14ac:dyDescent="0.2">
      <c r="B168" s="1"/>
    </row>
    <row r="169" spans="2:2" ht="12.75" x14ac:dyDescent="0.2">
      <c r="B169" s="1"/>
    </row>
    <row r="170" spans="2:2" ht="12.75" x14ac:dyDescent="0.2">
      <c r="B170" s="1"/>
    </row>
    <row r="171" spans="2:2" ht="12.75" x14ac:dyDescent="0.2">
      <c r="B171" s="1"/>
    </row>
    <row r="172" spans="2:2" ht="12.75" x14ac:dyDescent="0.2">
      <c r="B172" s="1"/>
    </row>
    <row r="173" spans="2:2" ht="12.75" x14ac:dyDescent="0.2">
      <c r="B173" s="1"/>
    </row>
    <row r="174" spans="2:2" ht="12.75" x14ac:dyDescent="0.2">
      <c r="B174" s="1"/>
    </row>
    <row r="175" spans="2:2" ht="12.75" x14ac:dyDescent="0.2">
      <c r="B175" s="1"/>
    </row>
    <row r="176" spans="2:2" ht="12.75" x14ac:dyDescent="0.2">
      <c r="B176" s="1"/>
    </row>
    <row r="177" spans="2:2" ht="12.75" x14ac:dyDescent="0.2">
      <c r="B177" s="1"/>
    </row>
    <row r="178" spans="2:2" ht="12.75" x14ac:dyDescent="0.2">
      <c r="B178" s="1"/>
    </row>
    <row r="179" spans="2:2" ht="12.75" x14ac:dyDescent="0.2">
      <c r="B179" s="1"/>
    </row>
    <row r="180" spans="2:2" ht="12.75" x14ac:dyDescent="0.2">
      <c r="B180" s="1"/>
    </row>
    <row r="181" spans="2:2" ht="12.75" x14ac:dyDescent="0.2">
      <c r="B181" s="1"/>
    </row>
    <row r="182" spans="2:2" ht="12.75" x14ac:dyDescent="0.2">
      <c r="B182" s="1"/>
    </row>
    <row r="183" spans="2:2" ht="12.75" x14ac:dyDescent="0.2">
      <c r="B183" s="1"/>
    </row>
    <row r="184" spans="2:2" ht="12.75" x14ac:dyDescent="0.2">
      <c r="B184" s="1"/>
    </row>
    <row r="185" spans="2:2" ht="12.75" x14ac:dyDescent="0.2">
      <c r="B185" s="1"/>
    </row>
    <row r="186" spans="2:2" ht="12.75" x14ac:dyDescent="0.2">
      <c r="B186" s="1"/>
    </row>
    <row r="187" spans="2:2" ht="12.75" x14ac:dyDescent="0.2">
      <c r="B187" s="1"/>
    </row>
    <row r="188" spans="2:2" ht="12.75" x14ac:dyDescent="0.2">
      <c r="B188" s="1"/>
    </row>
    <row r="189" spans="2:2" ht="12.75" x14ac:dyDescent="0.2">
      <c r="B189" s="1"/>
    </row>
    <row r="190" spans="2:2" ht="12.75" x14ac:dyDescent="0.2">
      <c r="B190" s="1"/>
    </row>
    <row r="191" spans="2:2" ht="12.75" x14ac:dyDescent="0.2">
      <c r="B191" s="1"/>
    </row>
    <row r="192" spans="2:2" ht="12.75" x14ac:dyDescent="0.2">
      <c r="B192" s="1"/>
    </row>
    <row r="193" spans="2:2" ht="12.75" x14ac:dyDescent="0.2">
      <c r="B193" s="1"/>
    </row>
    <row r="194" spans="2:2" ht="12.75" x14ac:dyDescent="0.2">
      <c r="B194" s="1"/>
    </row>
    <row r="195" spans="2:2" ht="12.75" x14ac:dyDescent="0.2">
      <c r="B195" s="1"/>
    </row>
    <row r="196" spans="2:2" ht="12.75" x14ac:dyDescent="0.2">
      <c r="B196" s="1"/>
    </row>
    <row r="197" spans="2:2" ht="12.75" x14ac:dyDescent="0.2">
      <c r="B197" s="1"/>
    </row>
    <row r="198" spans="2:2" ht="12.75" x14ac:dyDescent="0.2">
      <c r="B198" s="1"/>
    </row>
    <row r="199" spans="2:2" ht="12.75" x14ac:dyDescent="0.2">
      <c r="B199" s="1"/>
    </row>
    <row r="200" spans="2:2" ht="12.75" x14ac:dyDescent="0.2">
      <c r="B200" s="1"/>
    </row>
    <row r="201" spans="2:2" ht="12.75" x14ac:dyDescent="0.2">
      <c r="B201" s="1"/>
    </row>
    <row r="202" spans="2:2" ht="12.75" x14ac:dyDescent="0.2">
      <c r="B202" s="1"/>
    </row>
    <row r="203" spans="2:2" ht="12.75" x14ac:dyDescent="0.2">
      <c r="B203" s="1"/>
    </row>
    <row r="204" spans="2:2" ht="12.75" x14ac:dyDescent="0.2">
      <c r="B204" s="1"/>
    </row>
    <row r="205" spans="2:2" ht="12.75" x14ac:dyDescent="0.2">
      <c r="B205" s="1"/>
    </row>
    <row r="206" spans="2:2" ht="12.75" x14ac:dyDescent="0.2">
      <c r="B206" s="1"/>
    </row>
    <row r="207" spans="2:2" ht="12.75" x14ac:dyDescent="0.2">
      <c r="B207" s="1"/>
    </row>
    <row r="208" spans="2:2" ht="12.75" x14ac:dyDescent="0.2">
      <c r="B208" s="1"/>
    </row>
    <row r="209" spans="2:2" ht="12.75" x14ac:dyDescent="0.2">
      <c r="B209" s="1"/>
    </row>
    <row r="210" spans="2:2" ht="12.75" x14ac:dyDescent="0.2">
      <c r="B210" s="1"/>
    </row>
    <row r="211" spans="2:2" ht="12.75" x14ac:dyDescent="0.2">
      <c r="B211" s="1"/>
    </row>
    <row r="212" spans="2:2" ht="12.75" x14ac:dyDescent="0.2">
      <c r="B212" s="1"/>
    </row>
    <row r="213" spans="2:2" ht="12.75" x14ac:dyDescent="0.2">
      <c r="B213" s="1"/>
    </row>
    <row r="214" spans="2:2" ht="12.75" x14ac:dyDescent="0.2">
      <c r="B214" s="1"/>
    </row>
    <row r="215" spans="2:2" ht="12.75" x14ac:dyDescent="0.2">
      <c r="B215" s="1"/>
    </row>
    <row r="216" spans="2:2" ht="12.75" x14ac:dyDescent="0.2">
      <c r="B216" s="1"/>
    </row>
    <row r="217" spans="2:2" ht="12.75" x14ac:dyDescent="0.2">
      <c r="B217" s="1"/>
    </row>
    <row r="218" spans="2:2" ht="12.75" x14ac:dyDescent="0.2">
      <c r="B218" s="1"/>
    </row>
    <row r="219" spans="2:2" ht="12.75" x14ac:dyDescent="0.2">
      <c r="B219" s="1"/>
    </row>
    <row r="220" spans="2:2" ht="12.75" x14ac:dyDescent="0.2">
      <c r="B220" s="1"/>
    </row>
    <row r="221" spans="2:2" ht="12.75" x14ac:dyDescent="0.2">
      <c r="B221" s="1"/>
    </row>
    <row r="222" spans="2:2" ht="12.75" x14ac:dyDescent="0.2">
      <c r="B222" s="1"/>
    </row>
    <row r="223" spans="2:2" ht="12.75" x14ac:dyDescent="0.2">
      <c r="B223" s="1"/>
    </row>
    <row r="224" spans="2:2" ht="12.75" x14ac:dyDescent="0.2">
      <c r="B224" s="1"/>
    </row>
    <row r="225" spans="2:2" ht="12.75" x14ac:dyDescent="0.2">
      <c r="B225" s="1"/>
    </row>
    <row r="226" spans="2:2" ht="12.75" x14ac:dyDescent="0.2">
      <c r="B226" s="1"/>
    </row>
    <row r="227" spans="2:2" ht="12.75" x14ac:dyDescent="0.2">
      <c r="B227" s="1"/>
    </row>
    <row r="228" spans="2:2" ht="12.75" x14ac:dyDescent="0.2">
      <c r="B228" s="1"/>
    </row>
    <row r="229" spans="2:2" ht="12.75" x14ac:dyDescent="0.2">
      <c r="B229" s="1"/>
    </row>
    <row r="230" spans="2:2" ht="12.75" x14ac:dyDescent="0.2">
      <c r="B230" s="1"/>
    </row>
    <row r="231" spans="2:2" ht="12.75" x14ac:dyDescent="0.2">
      <c r="B231" s="1"/>
    </row>
    <row r="232" spans="2:2" ht="12.75" x14ac:dyDescent="0.2">
      <c r="B232" s="1"/>
    </row>
    <row r="233" spans="2:2" ht="12.75" x14ac:dyDescent="0.2">
      <c r="B233" s="1"/>
    </row>
    <row r="234" spans="2:2" ht="12.75" x14ac:dyDescent="0.2">
      <c r="B234" s="1"/>
    </row>
    <row r="235" spans="2:2" ht="12.75" x14ac:dyDescent="0.2">
      <c r="B235" s="1"/>
    </row>
    <row r="236" spans="2:2" ht="12.75" x14ac:dyDescent="0.2">
      <c r="B236" s="1"/>
    </row>
    <row r="237" spans="2:2" ht="12.75" x14ac:dyDescent="0.2">
      <c r="B237" s="1"/>
    </row>
    <row r="238" spans="2:2" ht="12.75" x14ac:dyDescent="0.2">
      <c r="B238" s="1"/>
    </row>
    <row r="239" spans="2:2" ht="12.75" x14ac:dyDescent="0.2">
      <c r="B239" s="1"/>
    </row>
    <row r="240" spans="2:2" ht="12.75" x14ac:dyDescent="0.2">
      <c r="B240" s="1"/>
    </row>
    <row r="241" spans="2:2" ht="12.75" x14ac:dyDescent="0.2">
      <c r="B241" s="1"/>
    </row>
    <row r="242" spans="2:2" ht="12.75" x14ac:dyDescent="0.2">
      <c r="B242" s="1"/>
    </row>
    <row r="243" spans="2:2" ht="12.75" x14ac:dyDescent="0.2">
      <c r="B243" s="1"/>
    </row>
    <row r="244" spans="2:2" ht="12.75" x14ac:dyDescent="0.2">
      <c r="B244" s="1"/>
    </row>
    <row r="245" spans="2:2" ht="12.75" x14ac:dyDescent="0.2">
      <c r="B245" s="1"/>
    </row>
    <row r="246" spans="2:2" ht="12.75" x14ac:dyDescent="0.2">
      <c r="B246" s="1"/>
    </row>
    <row r="247" spans="2:2" ht="12.75" x14ac:dyDescent="0.2">
      <c r="B247" s="1"/>
    </row>
    <row r="248" spans="2:2" ht="12.75" x14ac:dyDescent="0.2">
      <c r="B248" s="1"/>
    </row>
    <row r="249" spans="2:2" ht="12.75" x14ac:dyDescent="0.2">
      <c r="B249" s="1"/>
    </row>
    <row r="250" spans="2:2" ht="12.75" x14ac:dyDescent="0.2">
      <c r="B250" s="1"/>
    </row>
    <row r="251" spans="2:2" ht="12.75" x14ac:dyDescent="0.2">
      <c r="B251" s="1"/>
    </row>
    <row r="252" spans="2:2" ht="12.75" x14ac:dyDescent="0.2">
      <c r="B252" s="1"/>
    </row>
    <row r="253" spans="2:2" ht="12.75" x14ac:dyDescent="0.2">
      <c r="B253" s="1"/>
    </row>
    <row r="254" spans="2:2" ht="12.75" x14ac:dyDescent="0.2">
      <c r="B254" s="1"/>
    </row>
    <row r="255" spans="2:2" ht="12.75" x14ac:dyDescent="0.2">
      <c r="B255" s="1"/>
    </row>
    <row r="256" spans="2:2" ht="12.75" x14ac:dyDescent="0.2">
      <c r="B256" s="1"/>
    </row>
    <row r="257" spans="2:2" ht="12.75" x14ac:dyDescent="0.2">
      <c r="B257" s="1"/>
    </row>
    <row r="258" spans="2:2" ht="12.75" x14ac:dyDescent="0.2">
      <c r="B258" s="1"/>
    </row>
    <row r="259" spans="2:2" ht="12.75" x14ac:dyDescent="0.2">
      <c r="B259" s="1"/>
    </row>
    <row r="260" spans="2:2" ht="12.75" x14ac:dyDescent="0.2">
      <c r="B260" s="1"/>
    </row>
    <row r="261" spans="2:2" ht="12.75" x14ac:dyDescent="0.2">
      <c r="B261" s="1"/>
    </row>
    <row r="262" spans="2:2" ht="12.75" x14ac:dyDescent="0.2">
      <c r="B262" s="1"/>
    </row>
    <row r="263" spans="2:2" ht="12.75" x14ac:dyDescent="0.2">
      <c r="B263" s="1"/>
    </row>
    <row r="264" spans="2:2" ht="12.75" x14ac:dyDescent="0.2">
      <c r="B264" s="1"/>
    </row>
    <row r="265" spans="2:2" ht="12.75" x14ac:dyDescent="0.2">
      <c r="B265" s="1"/>
    </row>
    <row r="266" spans="2:2" ht="12.75" x14ac:dyDescent="0.2">
      <c r="B266" s="1"/>
    </row>
    <row r="267" spans="2:2" ht="12.75" x14ac:dyDescent="0.2">
      <c r="B267" s="1"/>
    </row>
    <row r="268" spans="2:2" ht="12.75" x14ac:dyDescent="0.2">
      <c r="B268" s="1"/>
    </row>
    <row r="269" spans="2:2" ht="12.75" x14ac:dyDescent="0.2">
      <c r="B269" s="1"/>
    </row>
    <row r="270" spans="2:2" ht="12.75" x14ac:dyDescent="0.2">
      <c r="B270" s="1"/>
    </row>
    <row r="271" spans="2:2" ht="12.75" x14ac:dyDescent="0.2">
      <c r="B271" s="1"/>
    </row>
    <row r="272" spans="2:2" ht="12.75" x14ac:dyDescent="0.2">
      <c r="B272" s="1"/>
    </row>
    <row r="273" spans="2:2" ht="12.75" x14ac:dyDescent="0.2">
      <c r="B273" s="1"/>
    </row>
    <row r="274" spans="2:2" ht="12.75" x14ac:dyDescent="0.2">
      <c r="B274" s="1"/>
    </row>
    <row r="275" spans="2:2" ht="12.75" x14ac:dyDescent="0.2">
      <c r="B275" s="1"/>
    </row>
    <row r="276" spans="2:2" ht="12.75" x14ac:dyDescent="0.2">
      <c r="B276" s="1"/>
    </row>
    <row r="277" spans="2:2" ht="12.75" x14ac:dyDescent="0.2">
      <c r="B277" s="1"/>
    </row>
    <row r="278" spans="2:2" ht="12.75" x14ac:dyDescent="0.2">
      <c r="B278" s="1"/>
    </row>
    <row r="279" spans="2:2" ht="12.75" x14ac:dyDescent="0.2">
      <c r="B279" s="1"/>
    </row>
    <row r="280" spans="2:2" ht="12.75" x14ac:dyDescent="0.2">
      <c r="B280" s="1"/>
    </row>
    <row r="281" spans="2:2" ht="12.75" x14ac:dyDescent="0.2">
      <c r="B281" s="1"/>
    </row>
    <row r="282" spans="2:2" ht="12.75" x14ac:dyDescent="0.2">
      <c r="B282" s="1"/>
    </row>
    <row r="283" spans="2:2" ht="12.75" x14ac:dyDescent="0.2">
      <c r="B283" s="1"/>
    </row>
    <row r="284" spans="2:2" ht="12.75" x14ac:dyDescent="0.2">
      <c r="B284" s="1"/>
    </row>
    <row r="285" spans="2:2" ht="12.75" x14ac:dyDescent="0.2">
      <c r="B285" s="1"/>
    </row>
    <row r="286" spans="2:2" ht="12.75" x14ac:dyDescent="0.2">
      <c r="B286" s="1"/>
    </row>
    <row r="287" spans="2:2" ht="12.75" x14ac:dyDescent="0.2">
      <c r="B287" s="1"/>
    </row>
    <row r="288" spans="2:2" ht="12.75" x14ac:dyDescent="0.2">
      <c r="B288" s="1"/>
    </row>
    <row r="289" spans="2:2" ht="12.75" x14ac:dyDescent="0.2">
      <c r="B289" s="1"/>
    </row>
    <row r="290" spans="2:2" ht="12.75" x14ac:dyDescent="0.2">
      <c r="B290" s="1"/>
    </row>
    <row r="291" spans="2:2" ht="12.75" x14ac:dyDescent="0.2">
      <c r="B291" s="1"/>
    </row>
    <row r="292" spans="2:2" ht="12.75" x14ac:dyDescent="0.2">
      <c r="B292" s="1"/>
    </row>
    <row r="293" spans="2:2" ht="12.75" x14ac:dyDescent="0.2">
      <c r="B293" s="1"/>
    </row>
    <row r="294" spans="2:2" ht="12.75" x14ac:dyDescent="0.2">
      <c r="B294" s="1"/>
    </row>
    <row r="295" spans="2:2" ht="12.75" x14ac:dyDescent="0.2">
      <c r="B295" s="1"/>
    </row>
    <row r="296" spans="2:2" ht="12.75" x14ac:dyDescent="0.2">
      <c r="B296" s="1"/>
    </row>
    <row r="297" spans="2:2" ht="12.75" x14ac:dyDescent="0.2">
      <c r="B297" s="1"/>
    </row>
    <row r="298" spans="2:2" ht="12.75" x14ac:dyDescent="0.2">
      <c r="B298" s="1"/>
    </row>
    <row r="299" spans="2:2" ht="12.75" x14ac:dyDescent="0.2">
      <c r="B299" s="1"/>
    </row>
    <row r="300" spans="2:2" ht="12.75" x14ac:dyDescent="0.2">
      <c r="B300" s="1"/>
    </row>
    <row r="301" spans="2:2" ht="12.75" x14ac:dyDescent="0.2">
      <c r="B301" s="1"/>
    </row>
    <row r="302" spans="2:2" ht="12.75" x14ac:dyDescent="0.2">
      <c r="B302" s="1"/>
    </row>
    <row r="303" spans="2:2" ht="12.75" x14ac:dyDescent="0.2">
      <c r="B303" s="1"/>
    </row>
    <row r="304" spans="2:2" ht="12.75" x14ac:dyDescent="0.2">
      <c r="B304" s="1"/>
    </row>
    <row r="305" spans="2:2" ht="12.75" x14ac:dyDescent="0.2">
      <c r="B305" s="1"/>
    </row>
    <row r="306" spans="2:2" ht="12.75" x14ac:dyDescent="0.2">
      <c r="B306" s="1"/>
    </row>
    <row r="307" spans="2:2" ht="12.75" x14ac:dyDescent="0.2">
      <c r="B307" s="1"/>
    </row>
    <row r="308" spans="2:2" ht="12.75" x14ac:dyDescent="0.2">
      <c r="B308" s="1"/>
    </row>
    <row r="309" spans="2:2" ht="12.75" x14ac:dyDescent="0.2">
      <c r="B309" s="1"/>
    </row>
    <row r="310" spans="2:2" ht="12.75" x14ac:dyDescent="0.2">
      <c r="B310" s="1"/>
    </row>
    <row r="311" spans="2:2" ht="12.75" x14ac:dyDescent="0.2">
      <c r="B311" s="1"/>
    </row>
    <row r="312" spans="2:2" ht="12.75" x14ac:dyDescent="0.2">
      <c r="B312" s="1"/>
    </row>
    <row r="313" spans="2:2" ht="12.75" x14ac:dyDescent="0.2">
      <c r="B313" s="1"/>
    </row>
    <row r="314" spans="2:2" ht="12.75" x14ac:dyDescent="0.2">
      <c r="B314" s="1"/>
    </row>
    <row r="315" spans="2:2" ht="12.75" x14ac:dyDescent="0.2">
      <c r="B315" s="1"/>
    </row>
    <row r="316" spans="2:2" ht="12.75" x14ac:dyDescent="0.2">
      <c r="B316" s="1"/>
    </row>
    <row r="317" spans="2:2" ht="12.75" x14ac:dyDescent="0.2">
      <c r="B317" s="1"/>
    </row>
    <row r="318" spans="2:2" ht="12.75" x14ac:dyDescent="0.2">
      <c r="B318" s="1"/>
    </row>
    <row r="319" spans="2:2" ht="12.75" x14ac:dyDescent="0.2">
      <c r="B319" s="1"/>
    </row>
    <row r="320" spans="2:2" ht="12.75" x14ac:dyDescent="0.2">
      <c r="B320" s="1"/>
    </row>
    <row r="321" spans="2:2" ht="12.75" x14ac:dyDescent="0.2">
      <c r="B321" s="1"/>
    </row>
    <row r="322" spans="2:2" ht="12.75" x14ac:dyDescent="0.2">
      <c r="B322" s="1"/>
    </row>
    <row r="323" spans="2:2" ht="12.75" x14ac:dyDescent="0.2">
      <c r="B323" s="1"/>
    </row>
    <row r="324" spans="2:2" ht="12.75" x14ac:dyDescent="0.2">
      <c r="B324" s="1"/>
    </row>
    <row r="325" spans="2:2" ht="12.75" x14ac:dyDescent="0.2">
      <c r="B325" s="1"/>
    </row>
    <row r="326" spans="2:2" ht="12.75" x14ac:dyDescent="0.2">
      <c r="B326" s="1"/>
    </row>
    <row r="327" spans="2:2" ht="12.75" x14ac:dyDescent="0.2">
      <c r="B327" s="1"/>
    </row>
    <row r="328" spans="2:2" ht="12.75" x14ac:dyDescent="0.2">
      <c r="B328" s="1"/>
    </row>
    <row r="329" spans="2:2" ht="12.75" x14ac:dyDescent="0.2">
      <c r="B329" s="1"/>
    </row>
    <row r="330" spans="2:2" ht="12.75" x14ac:dyDescent="0.2">
      <c r="B330" s="1"/>
    </row>
    <row r="331" spans="2:2" ht="12.75" x14ac:dyDescent="0.2">
      <c r="B331" s="1"/>
    </row>
    <row r="332" spans="2:2" ht="12.75" x14ac:dyDescent="0.2">
      <c r="B332" s="1"/>
    </row>
    <row r="333" spans="2:2" ht="12.75" x14ac:dyDescent="0.2">
      <c r="B333" s="1"/>
    </row>
    <row r="334" spans="2:2" ht="12.75" x14ac:dyDescent="0.2">
      <c r="B334" s="1"/>
    </row>
    <row r="335" spans="2:2" ht="12.75" x14ac:dyDescent="0.2">
      <c r="B335" s="1"/>
    </row>
    <row r="336" spans="2:2" ht="12.75" x14ac:dyDescent="0.2">
      <c r="B336" s="1"/>
    </row>
    <row r="337" spans="2:2" ht="12.75" x14ac:dyDescent="0.2">
      <c r="B337" s="1"/>
    </row>
    <row r="338" spans="2:2" ht="12.75" x14ac:dyDescent="0.2">
      <c r="B338" s="1"/>
    </row>
    <row r="339" spans="2:2" ht="12.75" x14ac:dyDescent="0.2">
      <c r="B339" s="1"/>
    </row>
    <row r="340" spans="2:2" ht="12.75" x14ac:dyDescent="0.2">
      <c r="B340" s="1"/>
    </row>
    <row r="341" spans="2:2" ht="12.75" x14ac:dyDescent="0.2">
      <c r="B341" s="1"/>
    </row>
    <row r="342" spans="2:2" ht="12.75" x14ac:dyDescent="0.2">
      <c r="B342" s="1"/>
    </row>
    <row r="343" spans="2:2" ht="12.75" x14ac:dyDescent="0.2">
      <c r="B343" s="1"/>
    </row>
    <row r="344" spans="2:2" ht="12.75" x14ac:dyDescent="0.2">
      <c r="B344" s="1"/>
    </row>
    <row r="345" spans="2:2" ht="12.75" x14ac:dyDescent="0.2">
      <c r="B345" s="1"/>
    </row>
    <row r="346" spans="2:2" ht="12.75" x14ac:dyDescent="0.2">
      <c r="B346" s="1"/>
    </row>
    <row r="347" spans="2:2" ht="12.75" x14ac:dyDescent="0.2">
      <c r="B347" s="1"/>
    </row>
    <row r="348" spans="2:2" ht="12.75" x14ac:dyDescent="0.2">
      <c r="B348" s="1"/>
    </row>
    <row r="349" spans="2:2" ht="12.75" x14ac:dyDescent="0.2">
      <c r="B349" s="1"/>
    </row>
    <row r="350" spans="2:2" ht="12.75" x14ac:dyDescent="0.2">
      <c r="B350" s="1"/>
    </row>
    <row r="351" spans="2:2" ht="12.75" x14ac:dyDescent="0.2">
      <c r="B351" s="1"/>
    </row>
    <row r="352" spans="2:2" ht="12.75" x14ac:dyDescent="0.2">
      <c r="B352" s="1"/>
    </row>
    <row r="353" spans="2:2" ht="12.75" x14ac:dyDescent="0.2">
      <c r="B353" s="1"/>
    </row>
    <row r="354" spans="2:2" ht="12.75" x14ac:dyDescent="0.2">
      <c r="B354" s="1"/>
    </row>
    <row r="355" spans="2:2" ht="12.75" x14ac:dyDescent="0.2">
      <c r="B355" s="1"/>
    </row>
    <row r="356" spans="2:2" ht="12.75" x14ac:dyDescent="0.2">
      <c r="B356" s="1"/>
    </row>
    <row r="357" spans="2:2" ht="12.75" x14ac:dyDescent="0.2">
      <c r="B357" s="1"/>
    </row>
    <row r="358" spans="2:2" ht="12.75" x14ac:dyDescent="0.2">
      <c r="B358" s="1"/>
    </row>
    <row r="359" spans="2:2" ht="12.75" x14ac:dyDescent="0.2">
      <c r="B359" s="1"/>
    </row>
    <row r="360" spans="2:2" ht="12.75" x14ac:dyDescent="0.2">
      <c r="B360" s="1"/>
    </row>
    <row r="361" spans="2:2" ht="12.75" x14ac:dyDescent="0.2">
      <c r="B361" s="1"/>
    </row>
    <row r="362" spans="2:2" ht="12.75" x14ac:dyDescent="0.2">
      <c r="B362" s="1"/>
    </row>
    <row r="363" spans="2:2" ht="12.75" x14ac:dyDescent="0.2">
      <c r="B363" s="1"/>
    </row>
    <row r="364" spans="2:2" ht="12.75" x14ac:dyDescent="0.2">
      <c r="B364" s="1"/>
    </row>
    <row r="365" spans="2:2" ht="12.75" x14ac:dyDescent="0.2">
      <c r="B365" s="1"/>
    </row>
    <row r="366" spans="2:2" ht="12.75" x14ac:dyDescent="0.2">
      <c r="B366" s="1"/>
    </row>
    <row r="367" spans="2:2" ht="12.75" x14ac:dyDescent="0.2">
      <c r="B367" s="1"/>
    </row>
    <row r="368" spans="2:2" ht="12.75" x14ac:dyDescent="0.2">
      <c r="B368" s="1"/>
    </row>
    <row r="369" spans="2:2" ht="12.75" x14ac:dyDescent="0.2">
      <c r="B369" s="1"/>
    </row>
    <row r="370" spans="2:2" ht="12.75" x14ac:dyDescent="0.2">
      <c r="B370" s="1"/>
    </row>
    <row r="371" spans="2:2" ht="12.75" x14ac:dyDescent="0.2">
      <c r="B371" s="1"/>
    </row>
    <row r="372" spans="2:2" ht="12.75" x14ac:dyDescent="0.2">
      <c r="B372" s="1"/>
    </row>
    <row r="373" spans="2:2" ht="12.75" x14ac:dyDescent="0.2">
      <c r="B373" s="1"/>
    </row>
    <row r="374" spans="2:2" ht="12.75" x14ac:dyDescent="0.2">
      <c r="B374" s="1"/>
    </row>
    <row r="375" spans="2:2" ht="12.75" x14ac:dyDescent="0.2">
      <c r="B375" s="1"/>
    </row>
    <row r="376" spans="2:2" ht="12.75" x14ac:dyDescent="0.2">
      <c r="B376" s="1"/>
    </row>
    <row r="377" spans="2:2" ht="12.75" x14ac:dyDescent="0.2">
      <c r="B377" s="1"/>
    </row>
    <row r="378" spans="2:2" ht="12.75" x14ac:dyDescent="0.2">
      <c r="B378" s="1"/>
    </row>
    <row r="379" spans="2:2" ht="12.75" x14ac:dyDescent="0.2">
      <c r="B379" s="1"/>
    </row>
    <row r="380" spans="2:2" ht="12.75" x14ac:dyDescent="0.2">
      <c r="B380" s="1"/>
    </row>
    <row r="381" spans="2:2" ht="12.75" x14ac:dyDescent="0.2">
      <c r="B381" s="1"/>
    </row>
    <row r="382" spans="2:2" ht="12.75" x14ac:dyDescent="0.2">
      <c r="B382" s="1"/>
    </row>
    <row r="383" spans="2:2" ht="12.75" x14ac:dyDescent="0.2">
      <c r="B383" s="1"/>
    </row>
    <row r="384" spans="2:2" ht="12.75" x14ac:dyDescent="0.2">
      <c r="B384" s="1"/>
    </row>
    <row r="385" spans="2:2" ht="12.75" x14ac:dyDescent="0.2">
      <c r="B385" s="1"/>
    </row>
    <row r="386" spans="2:2" ht="12.75" x14ac:dyDescent="0.2">
      <c r="B386" s="1"/>
    </row>
    <row r="387" spans="2:2" ht="12.75" x14ac:dyDescent="0.2">
      <c r="B387" s="1"/>
    </row>
    <row r="388" spans="2:2" ht="12.75" x14ac:dyDescent="0.2">
      <c r="B388" s="1"/>
    </row>
    <row r="389" spans="2:2" ht="12.75" x14ac:dyDescent="0.2">
      <c r="B389" s="1"/>
    </row>
    <row r="390" spans="2:2" ht="12.75" x14ac:dyDescent="0.2">
      <c r="B390" s="1"/>
    </row>
    <row r="391" spans="2:2" ht="12.75" x14ac:dyDescent="0.2">
      <c r="B391" s="1"/>
    </row>
    <row r="392" spans="2:2" ht="12.75" x14ac:dyDescent="0.2">
      <c r="B392" s="1"/>
    </row>
    <row r="393" spans="2:2" ht="12.75" x14ac:dyDescent="0.2">
      <c r="B393" s="1"/>
    </row>
    <row r="394" spans="2:2" ht="12.75" x14ac:dyDescent="0.2">
      <c r="B394" s="1"/>
    </row>
    <row r="395" spans="2:2" ht="12.75" x14ac:dyDescent="0.2">
      <c r="B395" s="1"/>
    </row>
    <row r="396" spans="2:2" ht="12.75" x14ac:dyDescent="0.2">
      <c r="B396" s="1"/>
    </row>
    <row r="397" spans="2:2" ht="12.75" x14ac:dyDescent="0.2">
      <c r="B397" s="1"/>
    </row>
    <row r="398" spans="2:2" ht="12.75" x14ac:dyDescent="0.2">
      <c r="B398" s="1"/>
    </row>
    <row r="399" spans="2:2" ht="12.75" x14ac:dyDescent="0.2">
      <c r="B399" s="1"/>
    </row>
    <row r="400" spans="2:2" ht="12.75" x14ac:dyDescent="0.2">
      <c r="B400" s="1"/>
    </row>
    <row r="401" spans="2:2" ht="12.75" x14ac:dyDescent="0.2">
      <c r="B401" s="1"/>
    </row>
    <row r="402" spans="2:2" ht="12.75" x14ac:dyDescent="0.2">
      <c r="B402" s="1"/>
    </row>
    <row r="403" spans="2:2" ht="12.75" x14ac:dyDescent="0.2">
      <c r="B403" s="1"/>
    </row>
    <row r="404" spans="2:2" ht="12.75" x14ac:dyDescent="0.2">
      <c r="B404" s="1"/>
    </row>
    <row r="405" spans="2:2" ht="12.75" x14ac:dyDescent="0.2">
      <c r="B405" s="1"/>
    </row>
    <row r="406" spans="2:2" ht="12.75" x14ac:dyDescent="0.2">
      <c r="B406" s="1"/>
    </row>
    <row r="407" spans="2:2" ht="12.75" x14ac:dyDescent="0.2">
      <c r="B407" s="1"/>
    </row>
    <row r="408" spans="2:2" ht="12.75" x14ac:dyDescent="0.2">
      <c r="B408" s="1"/>
    </row>
    <row r="409" spans="2:2" ht="12.75" x14ac:dyDescent="0.2">
      <c r="B409" s="1"/>
    </row>
    <row r="410" spans="2:2" ht="12.75" x14ac:dyDescent="0.2">
      <c r="B410" s="1"/>
    </row>
    <row r="411" spans="2:2" ht="12.75" x14ac:dyDescent="0.2">
      <c r="B411" s="1"/>
    </row>
    <row r="412" spans="2:2" ht="12.75" x14ac:dyDescent="0.2">
      <c r="B412" s="1"/>
    </row>
    <row r="413" spans="2:2" ht="12.75" x14ac:dyDescent="0.2">
      <c r="B413" s="1"/>
    </row>
    <row r="414" spans="2:2" ht="12.75" x14ac:dyDescent="0.2">
      <c r="B414" s="1"/>
    </row>
    <row r="415" spans="2:2" ht="12.75" x14ac:dyDescent="0.2">
      <c r="B415" s="1"/>
    </row>
    <row r="416" spans="2:2" ht="12.75" x14ac:dyDescent="0.2">
      <c r="B416" s="1"/>
    </row>
    <row r="417" spans="2:2" ht="12.75" x14ac:dyDescent="0.2">
      <c r="B417" s="1"/>
    </row>
    <row r="418" spans="2:2" ht="12.75" x14ac:dyDescent="0.2">
      <c r="B418" s="1"/>
    </row>
    <row r="419" spans="2:2" ht="12.75" x14ac:dyDescent="0.2">
      <c r="B419" s="1"/>
    </row>
    <row r="420" spans="2:2" ht="12.75" x14ac:dyDescent="0.2">
      <c r="B420" s="1"/>
    </row>
    <row r="421" spans="2:2" ht="12.75" x14ac:dyDescent="0.2">
      <c r="B421" s="1"/>
    </row>
    <row r="422" spans="2:2" ht="12.75" x14ac:dyDescent="0.2">
      <c r="B422" s="1"/>
    </row>
    <row r="423" spans="2:2" ht="12.75" x14ac:dyDescent="0.2">
      <c r="B423" s="1"/>
    </row>
    <row r="424" spans="2:2" ht="12.75" x14ac:dyDescent="0.2">
      <c r="B424" s="1"/>
    </row>
    <row r="425" spans="2:2" ht="12.75" x14ac:dyDescent="0.2">
      <c r="B425" s="1"/>
    </row>
    <row r="426" spans="2:2" ht="12.75" x14ac:dyDescent="0.2">
      <c r="B426" s="1"/>
    </row>
    <row r="427" spans="2:2" ht="12.75" x14ac:dyDescent="0.2">
      <c r="B427" s="1"/>
    </row>
    <row r="428" spans="2:2" ht="12.75" x14ac:dyDescent="0.2">
      <c r="B428" s="1"/>
    </row>
    <row r="429" spans="2:2" ht="12.75" x14ac:dyDescent="0.2">
      <c r="B429" s="1"/>
    </row>
    <row r="430" spans="2:2" ht="12.75" x14ac:dyDescent="0.2">
      <c r="B430" s="1"/>
    </row>
    <row r="431" spans="2:2" ht="12.75" x14ac:dyDescent="0.2">
      <c r="B431" s="1"/>
    </row>
    <row r="432" spans="2:2" ht="12.75" x14ac:dyDescent="0.2">
      <c r="B432" s="1"/>
    </row>
    <row r="433" spans="2:2" ht="12.75" x14ac:dyDescent="0.2">
      <c r="B433" s="1"/>
    </row>
    <row r="434" spans="2:2" ht="12.75" x14ac:dyDescent="0.2">
      <c r="B434" s="1"/>
    </row>
    <row r="435" spans="2:2" ht="12.75" x14ac:dyDescent="0.2">
      <c r="B435" s="1"/>
    </row>
    <row r="436" spans="2:2" ht="12.75" x14ac:dyDescent="0.2">
      <c r="B436" s="1"/>
    </row>
    <row r="437" spans="2:2" ht="12.75" x14ac:dyDescent="0.2">
      <c r="B437" s="1"/>
    </row>
    <row r="438" spans="2:2" ht="12.75" x14ac:dyDescent="0.2">
      <c r="B438" s="1"/>
    </row>
    <row r="439" spans="2:2" ht="12.75" x14ac:dyDescent="0.2">
      <c r="B439" s="1"/>
    </row>
    <row r="440" spans="2:2" ht="12.75" x14ac:dyDescent="0.2">
      <c r="B440" s="1"/>
    </row>
    <row r="441" spans="2:2" ht="12.75" x14ac:dyDescent="0.2">
      <c r="B441" s="1"/>
    </row>
    <row r="442" spans="2:2" ht="12.75" x14ac:dyDescent="0.2">
      <c r="B442" s="1"/>
    </row>
    <row r="443" spans="2:2" ht="12.75" x14ac:dyDescent="0.2">
      <c r="B443" s="1"/>
    </row>
    <row r="444" spans="2:2" ht="12.75" x14ac:dyDescent="0.2">
      <c r="B444" s="1"/>
    </row>
    <row r="445" spans="2:2" ht="12.75" x14ac:dyDescent="0.2">
      <c r="B445" s="1"/>
    </row>
    <row r="446" spans="2:2" ht="12.75" x14ac:dyDescent="0.2">
      <c r="B446" s="1"/>
    </row>
    <row r="447" spans="2:2" ht="12.75" x14ac:dyDescent="0.2">
      <c r="B447" s="1"/>
    </row>
    <row r="448" spans="2:2" ht="12.75" x14ac:dyDescent="0.2">
      <c r="B448" s="1"/>
    </row>
    <row r="449" spans="2:2" ht="12.75" x14ac:dyDescent="0.2">
      <c r="B449" s="1"/>
    </row>
    <row r="450" spans="2:2" ht="12.75" x14ac:dyDescent="0.2">
      <c r="B450" s="1"/>
    </row>
    <row r="451" spans="2:2" ht="12.75" x14ac:dyDescent="0.2">
      <c r="B451" s="1"/>
    </row>
    <row r="452" spans="2:2" ht="12.75" x14ac:dyDescent="0.2">
      <c r="B452" s="1"/>
    </row>
    <row r="453" spans="2:2" ht="12.75" x14ac:dyDescent="0.2">
      <c r="B453" s="1"/>
    </row>
    <row r="454" spans="2:2" ht="12.75" x14ac:dyDescent="0.2">
      <c r="B454" s="1"/>
    </row>
    <row r="455" spans="2:2" ht="12.75" x14ac:dyDescent="0.2">
      <c r="B455" s="1"/>
    </row>
    <row r="456" spans="2:2" ht="12.75" x14ac:dyDescent="0.2">
      <c r="B456" s="1"/>
    </row>
    <row r="457" spans="2:2" ht="12.75" x14ac:dyDescent="0.2">
      <c r="B457" s="1"/>
    </row>
    <row r="458" spans="2:2" ht="12.75" x14ac:dyDescent="0.2">
      <c r="B458" s="1"/>
    </row>
    <row r="459" spans="2:2" ht="12.75" x14ac:dyDescent="0.2">
      <c r="B459" s="1"/>
    </row>
    <row r="460" spans="2:2" ht="12.75" x14ac:dyDescent="0.2">
      <c r="B460" s="1"/>
    </row>
    <row r="461" spans="2:2" ht="12.75" x14ac:dyDescent="0.2">
      <c r="B461" s="1"/>
    </row>
    <row r="462" spans="2:2" ht="12.75" x14ac:dyDescent="0.2">
      <c r="B462" s="1"/>
    </row>
    <row r="463" spans="2:2" ht="12.75" x14ac:dyDescent="0.2">
      <c r="B463" s="1"/>
    </row>
    <row r="464" spans="2:2" ht="12.75" x14ac:dyDescent="0.2">
      <c r="B464" s="1"/>
    </row>
    <row r="465" spans="2:2" ht="12.75" x14ac:dyDescent="0.2">
      <c r="B465" s="1"/>
    </row>
    <row r="466" spans="2:2" ht="12.75" x14ac:dyDescent="0.2">
      <c r="B466" s="1"/>
    </row>
    <row r="467" spans="2:2" ht="12.75" x14ac:dyDescent="0.2">
      <c r="B467" s="1"/>
    </row>
    <row r="468" spans="2:2" ht="12.75" x14ac:dyDescent="0.2">
      <c r="B468" s="1"/>
    </row>
    <row r="469" spans="2:2" ht="12.75" x14ac:dyDescent="0.2">
      <c r="B469" s="1"/>
    </row>
    <row r="470" spans="2:2" ht="12.75" x14ac:dyDescent="0.2">
      <c r="B470" s="1"/>
    </row>
    <row r="471" spans="2:2" ht="12.75" x14ac:dyDescent="0.2">
      <c r="B471" s="1"/>
    </row>
    <row r="472" spans="2:2" ht="12.75" x14ac:dyDescent="0.2">
      <c r="B472" s="1"/>
    </row>
    <row r="473" spans="2:2" ht="12.75" x14ac:dyDescent="0.2">
      <c r="B473" s="1"/>
    </row>
    <row r="474" spans="2:2" ht="12.75" x14ac:dyDescent="0.2">
      <c r="B474" s="1"/>
    </row>
    <row r="475" spans="2:2" ht="12.75" x14ac:dyDescent="0.2">
      <c r="B475" s="1"/>
    </row>
    <row r="476" spans="2:2" ht="12.75" x14ac:dyDescent="0.2">
      <c r="B476" s="1"/>
    </row>
    <row r="477" spans="2:2" ht="12.75" x14ac:dyDescent="0.2">
      <c r="B477" s="1"/>
    </row>
    <row r="478" spans="2:2" ht="12.75" x14ac:dyDescent="0.2">
      <c r="B478" s="1"/>
    </row>
    <row r="479" spans="2:2" ht="12.75" x14ac:dyDescent="0.2">
      <c r="B479" s="1"/>
    </row>
    <row r="480" spans="2:2" ht="12.75" x14ac:dyDescent="0.2">
      <c r="B480" s="1"/>
    </row>
    <row r="481" spans="2:2" ht="12.75" x14ac:dyDescent="0.2">
      <c r="B481" s="1"/>
    </row>
    <row r="482" spans="2:2" ht="12.75" x14ac:dyDescent="0.2">
      <c r="B482" s="1"/>
    </row>
    <row r="483" spans="2:2" ht="12.75" x14ac:dyDescent="0.2">
      <c r="B483" s="1"/>
    </row>
    <row r="484" spans="2:2" ht="12.75" x14ac:dyDescent="0.2">
      <c r="B484" s="1"/>
    </row>
    <row r="485" spans="2:2" ht="12.75" x14ac:dyDescent="0.2">
      <c r="B485" s="1"/>
    </row>
    <row r="486" spans="2:2" ht="12.75" x14ac:dyDescent="0.2">
      <c r="B486" s="1"/>
    </row>
    <row r="487" spans="2:2" ht="12.75" x14ac:dyDescent="0.2">
      <c r="B487" s="1"/>
    </row>
    <row r="488" spans="2:2" ht="12.75" x14ac:dyDescent="0.2">
      <c r="B488" s="1"/>
    </row>
    <row r="489" spans="2:2" ht="12.75" x14ac:dyDescent="0.2">
      <c r="B489" s="1"/>
    </row>
    <row r="490" spans="2:2" ht="12.75" x14ac:dyDescent="0.2">
      <c r="B490" s="1"/>
    </row>
    <row r="491" spans="2:2" ht="12.75" x14ac:dyDescent="0.2">
      <c r="B491" s="1"/>
    </row>
    <row r="492" spans="2:2" ht="12.75" x14ac:dyDescent="0.2">
      <c r="B492" s="1"/>
    </row>
    <row r="493" spans="2:2" ht="12.75" x14ac:dyDescent="0.2">
      <c r="B493" s="1"/>
    </row>
    <row r="494" spans="2:2" ht="12.75" x14ac:dyDescent="0.2">
      <c r="B494" s="1"/>
    </row>
    <row r="495" spans="2:2" ht="12.75" x14ac:dyDescent="0.2">
      <c r="B495" s="1"/>
    </row>
    <row r="496" spans="2:2" ht="12.75" x14ac:dyDescent="0.2">
      <c r="B496" s="1"/>
    </row>
    <row r="497" spans="2:2" ht="12.75" x14ac:dyDescent="0.2">
      <c r="B497" s="1"/>
    </row>
    <row r="498" spans="2:2" ht="12.75" x14ac:dyDescent="0.2">
      <c r="B498" s="1"/>
    </row>
    <row r="499" spans="2:2" ht="12.75" x14ac:dyDescent="0.2">
      <c r="B499" s="1"/>
    </row>
    <row r="500" spans="2:2" ht="12.75" x14ac:dyDescent="0.2">
      <c r="B500" s="1"/>
    </row>
    <row r="501" spans="2:2" ht="12.75" x14ac:dyDescent="0.2">
      <c r="B501" s="1"/>
    </row>
    <row r="502" spans="2:2" ht="12.75" x14ac:dyDescent="0.2">
      <c r="B502" s="1"/>
    </row>
    <row r="503" spans="2:2" ht="12.75" x14ac:dyDescent="0.2">
      <c r="B503" s="1"/>
    </row>
    <row r="504" spans="2:2" ht="12.75" x14ac:dyDescent="0.2">
      <c r="B504" s="1"/>
    </row>
    <row r="505" spans="2:2" ht="12.75" x14ac:dyDescent="0.2">
      <c r="B505" s="1"/>
    </row>
    <row r="506" spans="2:2" ht="12.75" x14ac:dyDescent="0.2">
      <c r="B506" s="1"/>
    </row>
    <row r="507" spans="2:2" ht="12.75" x14ac:dyDescent="0.2">
      <c r="B507" s="1"/>
    </row>
    <row r="508" spans="2:2" ht="12.75" x14ac:dyDescent="0.2">
      <c r="B508" s="1"/>
    </row>
    <row r="509" spans="2:2" ht="12.75" x14ac:dyDescent="0.2">
      <c r="B509" s="1"/>
    </row>
    <row r="510" spans="2:2" ht="12.75" x14ac:dyDescent="0.2">
      <c r="B510" s="1"/>
    </row>
    <row r="511" spans="2:2" ht="12.75" x14ac:dyDescent="0.2">
      <c r="B511" s="1"/>
    </row>
    <row r="512" spans="2:2" ht="12.75" x14ac:dyDescent="0.2">
      <c r="B512" s="1"/>
    </row>
    <row r="513" spans="2:2" ht="12.75" x14ac:dyDescent="0.2">
      <c r="B513" s="1"/>
    </row>
    <row r="514" spans="2:2" ht="12.75" x14ac:dyDescent="0.2">
      <c r="B514" s="1"/>
    </row>
    <row r="515" spans="2:2" ht="12.75" x14ac:dyDescent="0.2">
      <c r="B515" s="1"/>
    </row>
    <row r="516" spans="2:2" ht="12.75" x14ac:dyDescent="0.2">
      <c r="B516" s="1"/>
    </row>
    <row r="517" spans="2:2" ht="12.75" x14ac:dyDescent="0.2">
      <c r="B517" s="1"/>
    </row>
    <row r="518" spans="2:2" ht="12.75" x14ac:dyDescent="0.2">
      <c r="B518" s="1"/>
    </row>
    <row r="519" spans="2:2" ht="12.75" x14ac:dyDescent="0.2">
      <c r="B519" s="1"/>
    </row>
    <row r="520" spans="2:2" ht="12.75" x14ac:dyDescent="0.2">
      <c r="B520" s="1"/>
    </row>
    <row r="521" spans="2:2" ht="12.75" x14ac:dyDescent="0.2">
      <c r="B521" s="1"/>
    </row>
    <row r="522" spans="2:2" ht="12.75" x14ac:dyDescent="0.2">
      <c r="B522" s="1"/>
    </row>
    <row r="523" spans="2:2" ht="12.75" x14ac:dyDescent="0.2">
      <c r="B523" s="1"/>
    </row>
    <row r="524" spans="2:2" ht="12.75" x14ac:dyDescent="0.2">
      <c r="B524" s="1"/>
    </row>
    <row r="525" spans="2:2" ht="12.75" x14ac:dyDescent="0.2">
      <c r="B525" s="1"/>
    </row>
    <row r="526" spans="2:2" ht="12.75" x14ac:dyDescent="0.2">
      <c r="B526" s="1"/>
    </row>
    <row r="527" spans="2:2" ht="12.75" x14ac:dyDescent="0.2">
      <c r="B527" s="1"/>
    </row>
    <row r="528" spans="2:2" ht="12.75" x14ac:dyDescent="0.2">
      <c r="B528" s="1"/>
    </row>
    <row r="529" spans="2:2" ht="12.75" x14ac:dyDescent="0.2">
      <c r="B529" s="1"/>
    </row>
    <row r="530" spans="2:2" ht="12.75" x14ac:dyDescent="0.2">
      <c r="B530" s="1"/>
    </row>
    <row r="531" spans="2:2" ht="12.75" x14ac:dyDescent="0.2">
      <c r="B531" s="1"/>
    </row>
    <row r="532" spans="2:2" ht="12.75" x14ac:dyDescent="0.2">
      <c r="B532" s="1"/>
    </row>
    <row r="533" spans="2:2" ht="12.75" x14ac:dyDescent="0.2">
      <c r="B533" s="1"/>
    </row>
    <row r="534" spans="2:2" ht="12.75" x14ac:dyDescent="0.2">
      <c r="B534" s="1"/>
    </row>
    <row r="535" spans="2:2" ht="12.75" x14ac:dyDescent="0.2">
      <c r="B535" s="1"/>
    </row>
    <row r="536" spans="2:2" ht="12.75" x14ac:dyDescent="0.2">
      <c r="B536" s="1"/>
    </row>
    <row r="537" spans="2:2" ht="12.75" x14ac:dyDescent="0.2">
      <c r="B537" s="1"/>
    </row>
    <row r="538" spans="2:2" ht="12.75" x14ac:dyDescent="0.2">
      <c r="B538" s="1"/>
    </row>
    <row r="539" spans="2:2" ht="12.75" x14ac:dyDescent="0.2">
      <c r="B539" s="1"/>
    </row>
    <row r="540" spans="2:2" ht="12.75" x14ac:dyDescent="0.2">
      <c r="B540" s="1"/>
    </row>
    <row r="541" spans="2:2" ht="12.75" x14ac:dyDescent="0.2">
      <c r="B541" s="1"/>
    </row>
    <row r="542" spans="2:2" ht="12.75" x14ac:dyDescent="0.2">
      <c r="B542" s="1"/>
    </row>
    <row r="543" spans="2:2" ht="12.75" x14ac:dyDescent="0.2">
      <c r="B543" s="1"/>
    </row>
    <row r="544" spans="2:2" ht="12.75" x14ac:dyDescent="0.2">
      <c r="B544" s="1"/>
    </row>
    <row r="545" spans="2:2" ht="12.75" x14ac:dyDescent="0.2">
      <c r="B545" s="1"/>
    </row>
    <row r="546" spans="2:2" ht="12.75" x14ac:dyDescent="0.2">
      <c r="B546" s="1"/>
    </row>
    <row r="547" spans="2:2" ht="12.75" x14ac:dyDescent="0.2">
      <c r="B547" s="1"/>
    </row>
    <row r="548" spans="2:2" ht="12.75" x14ac:dyDescent="0.2">
      <c r="B548" s="1"/>
    </row>
    <row r="549" spans="2:2" ht="12.75" x14ac:dyDescent="0.2">
      <c r="B549" s="1"/>
    </row>
    <row r="550" spans="2:2" ht="12.75" x14ac:dyDescent="0.2">
      <c r="B550" s="1"/>
    </row>
    <row r="551" spans="2:2" ht="12.75" x14ac:dyDescent="0.2">
      <c r="B551" s="1"/>
    </row>
    <row r="552" spans="2:2" ht="12.75" x14ac:dyDescent="0.2">
      <c r="B552" s="1"/>
    </row>
    <row r="553" spans="2:2" ht="12.75" x14ac:dyDescent="0.2">
      <c r="B553" s="1"/>
    </row>
    <row r="554" spans="2:2" ht="12.75" x14ac:dyDescent="0.2">
      <c r="B554" s="1"/>
    </row>
    <row r="555" spans="2:2" ht="12.75" x14ac:dyDescent="0.2">
      <c r="B555" s="1"/>
    </row>
    <row r="556" spans="2:2" ht="12.75" x14ac:dyDescent="0.2">
      <c r="B556" s="1"/>
    </row>
    <row r="557" spans="2:2" ht="12.75" x14ac:dyDescent="0.2">
      <c r="B557" s="1"/>
    </row>
    <row r="558" spans="2:2" ht="12.75" x14ac:dyDescent="0.2">
      <c r="B558" s="1"/>
    </row>
    <row r="559" spans="2:2" ht="12.75" x14ac:dyDescent="0.2">
      <c r="B559" s="1"/>
    </row>
    <row r="560" spans="2:2" ht="12.75" x14ac:dyDescent="0.2">
      <c r="B560" s="1"/>
    </row>
    <row r="561" spans="2:2" ht="12.75" x14ac:dyDescent="0.2">
      <c r="B561" s="1"/>
    </row>
    <row r="562" spans="2:2" ht="12.75" x14ac:dyDescent="0.2">
      <c r="B562" s="1"/>
    </row>
    <row r="563" spans="2:2" ht="12.75" x14ac:dyDescent="0.2">
      <c r="B563" s="1"/>
    </row>
    <row r="564" spans="2:2" ht="12.75" x14ac:dyDescent="0.2">
      <c r="B564" s="1"/>
    </row>
    <row r="565" spans="2:2" ht="12.75" x14ac:dyDescent="0.2">
      <c r="B565" s="1"/>
    </row>
    <row r="566" spans="2:2" ht="12.75" x14ac:dyDescent="0.2">
      <c r="B566" s="1"/>
    </row>
    <row r="567" spans="2:2" ht="12.75" x14ac:dyDescent="0.2">
      <c r="B567" s="1"/>
    </row>
    <row r="568" spans="2:2" ht="12.75" x14ac:dyDescent="0.2">
      <c r="B568" s="1"/>
    </row>
    <row r="569" spans="2:2" ht="12.75" x14ac:dyDescent="0.2">
      <c r="B569" s="1"/>
    </row>
    <row r="570" spans="2:2" ht="12.75" x14ac:dyDescent="0.2">
      <c r="B570" s="1"/>
    </row>
    <row r="571" spans="2:2" ht="12.75" x14ac:dyDescent="0.2">
      <c r="B571" s="1"/>
    </row>
    <row r="572" spans="2:2" ht="12.75" x14ac:dyDescent="0.2">
      <c r="B572" s="1"/>
    </row>
    <row r="573" spans="2:2" ht="12.75" x14ac:dyDescent="0.2">
      <c r="B573" s="1"/>
    </row>
    <row r="574" spans="2:2" ht="12.75" x14ac:dyDescent="0.2">
      <c r="B574" s="1"/>
    </row>
    <row r="575" spans="2:2" ht="12.75" x14ac:dyDescent="0.2">
      <c r="B575" s="1"/>
    </row>
    <row r="576" spans="2:2" ht="12.75" x14ac:dyDescent="0.2">
      <c r="B576" s="1"/>
    </row>
    <row r="577" spans="2:2" ht="12.75" x14ac:dyDescent="0.2">
      <c r="B577" s="1"/>
    </row>
    <row r="578" spans="2:2" ht="12.75" x14ac:dyDescent="0.2">
      <c r="B578" s="1"/>
    </row>
    <row r="579" spans="2:2" ht="12.75" x14ac:dyDescent="0.2">
      <c r="B579" s="1"/>
    </row>
    <row r="580" spans="2:2" ht="12.75" x14ac:dyDescent="0.2">
      <c r="B580" s="1"/>
    </row>
    <row r="581" spans="2:2" ht="12.75" x14ac:dyDescent="0.2">
      <c r="B581" s="1"/>
    </row>
    <row r="582" spans="2:2" ht="12.75" x14ac:dyDescent="0.2">
      <c r="B582" s="1"/>
    </row>
    <row r="583" spans="2:2" ht="12.75" x14ac:dyDescent="0.2">
      <c r="B583" s="1"/>
    </row>
    <row r="584" spans="2:2" ht="12.75" x14ac:dyDescent="0.2">
      <c r="B584" s="1"/>
    </row>
    <row r="585" spans="2:2" ht="12.75" x14ac:dyDescent="0.2">
      <c r="B585" s="1"/>
    </row>
    <row r="586" spans="2:2" ht="12.75" x14ac:dyDescent="0.2">
      <c r="B586" s="1"/>
    </row>
    <row r="587" spans="2:2" ht="12.75" x14ac:dyDescent="0.2">
      <c r="B587" s="1"/>
    </row>
    <row r="588" spans="2:2" ht="12.75" x14ac:dyDescent="0.2">
      <c r="B588" s="1"/>
    </row>
    <row r="589" spans="2:2" ht="12.75" x14ac:dyDescent="0.2">
      <c r="B589" s="1"/>
    </row>
    <row r="590" spans="2:2" ht="12.75" x14ac:dyDescent="0.2">
      <c r="B590" s="1"/>
    </row>
    <row r="591" spans="2:2" ht="12.75" x14ac:dyDescent="0.2">
      <c r="B591" s="1"/>
    </row>
    <row r="592" spans="2:2" ht="12.75" x14ac:dyDescent="0.2">
      <c r="B592" s="1"/>
    </row>
    <row r="593" spans="2:2" ht="12.75" x14ac:dyDescent="0.2">
      <c r="B593" s="1"/>
    </row>
    <row r="594" spans="2:2" ht="12.75" x14ac:dyDescent="0.2">
      <c r="B594" s="1"/>
    </row>
    <row r="595" spans="2:2" ht="12.75" x14ac:dyDescent="0.2">
      <c r="B595" s="1"/>
    </row>
    <row r="596" spans="2:2" ht="12.75" x14ac:dyDescent="0.2">
      <c r="B596" s="1"/>
    </row>
    <row r="597" spans="2:2" ht="12.75" x14ac:dyDescent="0.2">
      <c r="B597" s="1"/>
    </row>
    <row r="598" spans="2:2" ht="12.75" x14ac:dyDescent="0.2">
      <c r="B598" s="1"/>
    </row>
    <row r="599" spans="2:2" ht="12.75" x14ac:dyDescent="0.2">
      <c r="B599" s="1"/>
    </row>
    <row r="600" spans="2:2" ht="12.75" x14ac:dyDescent="0.2">
      <c r="B600" s="1"/>
    </row>
    <row r="601" spans="2:2" ht="12.75" x14ac:dyDescent="0.2">
      <c r="B601" s="1"/>
    </row>
    <row r="602" spans="2:2" ht="12.75" x14ac:dyDescent="0.2">
      <c r="B602" s="1"/>
    </row>
    <row r="603" spans="2:2" ht="12.75" x14ac:dyDescent="0.2">
      <c r="B603" s="1"/>
    </row>
    <row r="604" spans="2:2" ht="12.75" x14ac:dyDescent="0.2">
      <c r="B604" s="1"/>
    </row>
    <row r="605" spans="2:2" ht="12.75" x14ac:dyDescent="0.2">
      <c r="B605" s="1"/>
    </row>
    <row r="606" spans="2:2" ht="12.75" x14ac:dyDescent="0.2">
      <c r="B606" s="1"/>
    </row>
    <row r="607" spans="2:2" ht="12.75" x14ac:dyDescent="0.2">
      <c r="B607" s="1"/>
    </row>
    <row r="608" spans="2:2" ht="12.75" x14ac:dyDescent="0.2">
      <c r="B608" s="1"/>
    </row>
    <row r="609" spans="2:2" ht="12.75" x14ac:dyDescent="0.2">
      <c r="B609" s="1"/>
    </row>
    <row r="610" spans="2:2" ht="12.75" x14ac:dyDescent="0.2">
      <c r="B610" s="1"/>
    </row>
    <row r="611" spans="2:2" ht="12.75" x14ac:dyDescent="0.2">
      <c r="B611" s="1"/>
    </row>
    <row r="612" spans="2:2" ht="12.75" x14ac:dyDescent="0.2">
      <c r="B612" s="1"/>
    </row>
    <row r="613" spans="2:2" ht="12.75" x14ac:dyDescent="0.2">
      <c r="B613" s="1"/>
    </row>
    <row r="614" spans="2:2" ht="12.75" x14ac:dyDescent="0.2">
      <c r="B614" s="1"/>
    </row>
    <row r="615" spans="2:2" ht="12.75" x14ac:dyDescent="0.2">
      <c r="B615" s="1"/>
    </row>
    <row r="616" spans="2:2" ht="12.75" x14ac:dyDescent="0.2">
      <c r="B616" s="1"/>
    </row>
    <row r="617" spans="2:2" ht="12.75" x14ac:dyDescent="0.2">
      <c r="B617" s="1"/>
    </row>
    <row r="618" spans="2:2" ht="12.75" x14ac:dyDescent="0.2">
      <c r="B618" s="1"/>
    </row>
    <row r="619" spans="2:2" ht="12.75" x14ac:dyDescent="0.2">
      <c r="B619" s="1"/>
    </row>
    <row r="620" spans="2:2" ht="12.75" x14ac:dyDescent="0.2">
      <c r="B620" s="1"/>
    </row>
    <row r="621" spans="2:2" ht="12.75" x14ac:dyDescent="0.2">
      <c r="B621" s="1"/>
    </row>
    <row r="622" spans="2:2" ht="12.75" x14ac:dyDescent="0.2">
      <c r="B622" s="1"/>
    </row>
    <row r="623" spans="2:2" ht="12.75" x14ac:dyDescent="0.2">
      <c r="B623" s="1"/>
    </row>
    <row r="624" spans="2:2" ht="12.75" x14ac:dyDescent="0.2">
      <c r="B624" s="1"/>
    </row>
    <row r="625" spans="2:2" ht="12.75" x14ac:dyDescent="0.2">
      <c r="B625" s="1"/>
    </row>
    <row r="626" spans="2:2" ht="12.75" x14ac:dyDescent="0.2">
      <c r="B626" s="1"/>
    </row>
    <row r="627" spans="2:2" ht="12.75" x14ac:dyDescent="0.2">
      <c r="B627" s="1"/>
    </row>
    <row r="628" spans="2:2" ht="12.75" x14ac:dyDescent="0.2">
      <c r="B628" s="1"/>
    </row>
    <row r="629" spans="2:2" ht="12.75" x14ac:dyDescent="0.2">
      <c r="B629" s="1"/>
    </row>
    <row r="630" spans="2:2" ht="12.75" x14ac:dyDescent="0.2">
      <c r="B630" s="1"/>
    </row>
    <row r="631" spans="2:2" ht="12.75" x14ac:dyDescent="0.2">
      <c r="B631" s="1"/>
    </row>
    <row r="632" spans="2:2" ht="12.75" x14ac:dyDescent="0.2">
      <c r="B632" s="1"/>
    </row>
    <row r="633" spans="2:2" ht="12.75" x14ac:dyDescent="0.2">
      <c r="B633" s="1"/>
    </row>
    <row r="634" spans="2:2" ht="12.75" x14ac:dyDescent="0.2">
      <c r="B634" s="1"/>
    </row>
    <row r="635" spans="2:2" ht="12.75" x14ac:dyDescent="0.2">
      <c r="B635" s="1"/>
    </row>
    <row r="636" spans="2:2" ht="12.75" x14ac:dyDescent="0.2">
      <c r="B636" s="1"/>
    </row>
    <row r="637" spans="2:2" ht="12.75" x14ac:dyDescent="0.2">
      <c r="B637" s="1"/>
    </row>
    <row r="638" spans="2:2" ht="12.75" x14ac:dyDescent="0.2">
      <c r="B638" s="1"/>
    </row>
    <row r="639" spans="2:2" ht="12.75" x14ac:dyDescent="0.2">
      <c r="B639" s="1"/>
    </row>
    <row r="640" spans="2:2" ht="12.75" x14ac:dyDescent="0.2">
      <c r="B640" s="1"/>
    </row>
    <row r="641" spans="2:2" ht="12.75" x14ac:dyDescent="0.2">
      <c r="B641" s="1"/>
    </row>
    <row r="642" spans="2:2" ht="12.75" x14ac:dyDescent="0.2">
      <c r="B642" s="1"/>
    </row>
    <row r="643" spans="2:2" ht="12.75" x14ac:dyDescent="0.2">
      <c r="B643" s="1"/>
    </row>
    <row r="644" spans="2:2" ht="12.75" x14ac:dyDescent="0.2">
      <c r="B644" s="1"/>
    </row>
    <row r="645" spans="2:2" ht="12.75" x14ac:dyDescent="0.2">
      <c r="B645" s="1"/>
    </row>
    <row r="646" spans="2:2" ht="12.75" x14ac:dyDescent="0.2">
      <c r="B646" s="1"/>
    </row>
    <row r="647" spans="2:2" ht="12.75" x14ac:dyDescent="0.2">
      <c r="B647" s="1"/>
    </row>
    <row r="648" spans="2:2" ht="12.75" x14ac:dyDescent="0.2">
      <c r="B648" s="1"/>
    </row>
    <row r="649" spans="2:2" ht="12.75" x14ac:dyDescent="0.2">
      <c r="B649" s="1"/>
    </row>
    <row r="650" spans="2:2" ht="12.75" x14ac:dyDescent="0.2">
      <c r="B650" s="1"/>
    </row>
    <row r="651" spans="2:2" ht="12.75" x14ac:dyDescent="0.2">
      <c r="B651" s="1"/>
    </row>
    <row r="652" spans="2:2" ht="12.75" x14ac:dyDescent="0.2">
      <c r="B652" s="1"/>
    </row>
    <row r="653" spans="2:2" ht="12.75" x14ac:dyDescent="0.2">
      <c r="B653" s="1"/>
    </row>
    <row r="654" spans="2:2" ht="12.75" x14ac:dyDescent="0.2">
      <c r="B654" s="1"/>
    </row>
    <row r="655" spans="2:2" ht="12.75" x14ac:dyDescent="0.2">
      <c r="B655" s="1"/>
    </row>
    <row r="656" spans="2:2" ht="12.75" x14ac:dyDescent="0.2">
      <c r="B656" s="1"/>
    </row>
    <row r="657" spans="2:2" ht="12.75" x14ac:dyDescent="0.2">
      <c r="B657" s="1"/>
    </row>
    <row r="658" spans="2:2" ht="12.75" x14ac:dyDescent="0.2">
      <c r="B658" s="1"/>
    </row>
    <row r="659" spans="2:2" ht="12.75" x14ac:dyDescent="0.2">
      <c r="B659" s="1"/>
    </row>
    <row r="660" spans="2:2" ht="12.75" x14ac:dyDescent="0.2">
      <c r="B660" s="1"/>
    </row>
    <row r="661" spans="2:2" ht="12.75" x14ac:dyDescent="0.2">
      <c r="B661" s="1"/>
    </row>
    <row r="662" spans="2:2" ht="12.75" x14ac:dyDescent="0.2">
      <c r="B662" s="1"/>
    </row>
    <row r="663" spans="2:2" ht="12.75" x14ac:dyDescent="0.2">
      <c r="B663" s="1"/>
    </row>
    <row r="664" spans="2:2" ht="12.75" x14ac:dyDescent="0.2">
      <c r="B664" s="1"/>
    </row>
    <row r="665" spans="2:2" ht="12.75" x14ac:dyDescent="0.2">
      <c r="B665" s="1"/>
    </row>
    <row r="666" spans="2:2" ht="12.75" x14ac:dyDescent="0.2">
      <c r="B666" s="1"/>
    </row>
    <row r="667" spans="2:2" ht="12.75" x14ac:dyDescent="0.2">
      <c r="B667" s="1"/>
    </row>
    <row r="668" spans="2:2" ht="12.75" x14ac:dyDescent="0.2">
      <c r="B668" s="1"/>
    </row>
    <row r="669" spans="2:2" ht="12.75" x14ac:dyDescent="0.2">
      <c r="B669" s="1"/>
    </row>
    <row r="670" spans="2:2" ht="12.75" x14ac:dyDescent="0.2">
      <c r="B670" s="1"/>
    </row>
    <row r="671" spans="2:2" ht="12.75" x14ac:dyDescent="0.2">
      <c r="B671" s="1"/>
    </row>
    <row r="672" spans="2:2" ht="12.75" x14ac:dyDescent="0.2">
      <c r="B672" s="1"/>
    </row>
    <row r="673" spans="2:2" ht="12.75" x14ac:dyDescent="0.2">
      <c r="B673" s="1"/>
    </row>
    <row r="674" spans="2:2" ht="12.75" x14ac:dyDescent="0.2">
      <c r="B674" s="1"/>
    </row>
    <row r="675" spans="2:2" ht="12.75" x14ac:dyDescent="0.2">
      <c r="B675" s="1"/>
    </row>
    <row r="676" spans="2:2" ht="12.75" x14ac:dyDescent="0.2">
      <c r="B676" s="1"/>
    </row>
    <row r="677" spans="2:2" ht="12.75" x14ac:dyDescent="0.2">
      <c r="B677" s="1"/>
    </row>
    <row r="678" spans="2:2" ht="12.75" x14ac:dyDescent="0.2">
      <c r="B678" s="1"/>
    </row>
    <row r="679" spans="2:2" ht="12.75" x14ac:dyDescent="0.2">
      <c r="B679" s="1"/>
    </row>
    <row r="680" spans="2:2" ht="12.75" x14ac:dyDescent="0.2">
      <c r="B680" s="1"/>
    </row>
    <row r="681" spans="2:2" ht="12.75" x14ac:dyDescent="0.2">
      <c r="B681" s="1"/>
    </row>
    <row r="682" spans="2:2" ht="12.75" x14ac:dyDescent="0.2">
      <c r="B682" s="1"/>
    </row>
    <row r="683" spans="2:2" ht="12.75" x14ac:dyDescent="0.2">
      <c r="B683" s="1"/>
    </row>
    <row r="684" spans="2:2" ht="12.75" x14ac:dyDescent="0.2">
      <c r="B684" s="1"/>
    </row>
    <row r="685" spans="2:2" ht="12.75" x14ac:dyDescent="0.2">
      <c r="B685" s="1"/>
    </row>
    <row r="686" spans="2:2" ht="12.75" x14ac:dyDescent="0.2">
      <c r="B686" s="1"/>
    </row>
    <row r="687" spans="2:2" ht="12.75" x14ac:dyDescent="0.2">
      <c r="B687" s="1"/>
    </row>
    <row r="688" spans="2:2" ht="12.75" x14ac:dyDescent="0.2">
      <c r="B688" s="1"/>
    </row>
    <row r="689" spans="2:2" ht="12.75" x14ac:dyDescent="0.2">
      <c r="B689" s="1"/>
    </row>
    <row r="690" spans="2:2" ht="12.75" x14ac:dyDescent="0.2">
      <c r="B690" s="1"/>
    </row>
    <row r="691" spans="2:2" ht="12.75" x14ac:dyDescent="0.2">
      <c r="B691" s="1"/>
    </row>
    <row r="692" spans="2:2" ht="12.75" x14ac:dyDescent="0.2">
      <c r="B692" s="1"/>
    </row>
    <row r="693" spans="2:2" ht="12.75" x14ac:dyDescent="0.2">
      <c r="B693" s="1"/>
    </row>
    <row r="694" spans="2:2" ht="12.75" x14ac:dyDescent="0.2">
      <c r="B694" s="1"/>
    </row>
    <row r="695" spans="2:2" ht="12.75" x14ac:dyDescent="0.2">
      <c r="B695" s="1"/>
    </row>
    <row r="696" spans="2:2" ht="12.75" x14ac:dyDescent="0.2">
      <c r="B696" s="1"/>
    </row>
    <row r="697" spans="2:2" ht="12.75" x14ac:dyDescent="0.2">
      <c r="B697" s="1"/>
    </row>
    <row r="698" spans="2:2" ht="12.75" x14ac:dyDescent="0.2">
      <c r="B698" s="1"/>
    </row>
    <row r="699" spans="2:2" ht="12.75" x14ac:dyDescent="0.2">
      <c r="B699" s="1"/>
    </row>
    <row r="700" spans="2:2" ht="12.75" x14ac:dyDescent="0.2">
      <c r="B700" s="1"/>
    </row>
    <row r="701" spans="2:2" ht="12.75" x14ac:dyDescent="0.2">
      <c r="B701" s="1"/>
    </row>
    <row r="702" spans="2:2" ht="12.75" x14ac:dyDescent="0.2">
      <c r="B702" s="1"/>
    </row>
    <row r="703" spans="2:2" ht="12.75" x14ac:dyDescent="0.2">
      <c r="B703" s="1"/>
    </row>
    <row r="704" spans="2:2" ht="12.75" x14ac:dyDescent="0.2">
      <c r="B704" s="1"/>
    </row>
    <row r="705" spans="2:2" ht="12.75" x14ac:dyDescent="0.2">
      <c r="B705" s="1"/>
    </row>
    <row r="706" spans="2:2" ht="12.75" x14ac:dyDescent="0.2">
      <c r="B706" s="1"/>
    </row>
    <row r="707" spans="2:2" ht="12.75" x14ac:dyDescent="0.2">
      <c r="B707" s="1"/>
    </row>
    <row r="708" spans="2:2" ht="12.75" x14ac:dyDescent="0.2">
      <c r="B708" s="1"/>
    </row>
    <row r="709" spans="2:2" ht="12.75" x14ac:dyDescent="0.2">
      <c r="B709" s="1"/>
    </row>
    <row r="710" spans="2:2" ht="12.75" x14ac:dyDescent="0.2">
      <c r="B710" s="1"/>
    </row>
    <row r="711" spans="2:2" ht="12.75" x14ac:dyDescent="0.2">
      <c r="B711" s="1"/>
    </row>
    <row r="712" spans="2:2" ht="12.75" x14ac:dyDescent="0.2">
      <c r="B712" s="1"/>
    </row>
    <row r="713" spans="2:2" ht="12.75" x14ac:dyDescent="0.2">
      <c r="B713" s="1"/>
    </row>
    <row r="714" spans="2:2" ht="12.75" x14ac:dyDescent="0.2">
      <c r="B714" s="1"/>
    </row>
    <row r="715" spans="2:2" ht="12.75" x14ac:dyDescent="0.2">
      <c r="B715" s="1"/>
    </row>
    <row r="716" spans="2:2" ht="12.75" x14ac:dyDescent="0.2">
      <c r="B716" s="1"/>
    </row>
    <row r="717" spans="2:2" ht="12.75" x14ac:dyDescent="0.2">
      <c r="B717" s="1"/>
    </row>
    <row r="718" spans="2:2" ht="12.75" x14ac:dyDescent="0.2">
      <c r="B718" s="1"/>
    </row>
    <row r="719" spans="2:2" ht="12.75" x14ac:dyDescent="0.2">
      <c r="B719" s="1"/>
    </row>
    <row r="720" spans="2:2" ht="12.75" x14ac:dyDescent="0.2">
      <c r="B720" s="1"/>
    </row>
    <row r="721" spans="2:2" ht="12.75" x14ac:dyDescent="0.2">
      <c r="B721" s="1"/>
    </row>
    <row r="722" spans="2:2" ht="12.75" x14ac:dyDescent="0.2">
      <c r="B722" s="1"/>
    </row>
    <row r="723" spans="2:2" ht="12.75" x14ac:dyDescent="0.2">
      <c r="B723" s="1"/>
    </row>
    <row r="724" spans="2:2" ht="12.75" x14ac:dyDescent="0.2">
      <c r="B724" s="1"/>
    </row>
    <row r="725" spans="2:2" ht="12.75" x14ac:dyDescent="0.2">
      <c r="B725" s="1"/>
    </row>
    <row r="726" spans="2:2" ht="12.75" x14ac:dyDescent="0.2">
      <c r="B726" s="1"/>
    </row>
    <row r="727" spans="2:2" ht="12.75" x14ac:dyDescent="0.2">
      <c r="B727" s="1"/>
    </row>
    <row r="728" spans="2:2" ht="12.75" x14ac:dyDescent="0.2">
      <c r="B728" s="1"/>
    </row>
    <row r="729" spans="2:2" ht="12.75" x14ac:dyDescent="0.2">
      <c r="B729" s="1"/>
    </row>
    <row r="730" spans="2:2" ht="12.75" x14ac:dyDescent="0.2">
      <c r="B730" s="1"/>
    </row>
    <row r="731" spans="2:2" ht="12.75" x14ac:dyDescent="0.2">
      <c r="B731" s="1"/>
    </row>
    <row r="732" spans="2:2" ht="12.75" x14ac:dyDescent="0.2">
      <c r="B732" s="1"/>
    </row>
    <row r="733" spans="2:2" ht="12.75" x14ac:dyDescent="0.2">
      <c r="B733" s="1"/>
    </row>
    <row r="734" spans="2:2" ht="12.75" x14ac:dyDescent="0.2">
      <c r="B734" s="1"/>
    </row>
    <row r="735" spans="2:2" ht="12.75" x14ac:dyDescent="0.2">
      <c r="B735" s="1"/>
    </row>
    <row r="736" spans="2:2" ht="12.75" x14ac:dyDescent="0.2">
      <c r="B736" s="1"/>
    </row>
    <row r="737" spans="2:2" ht="12.75" x14ac:dyDescent="0.2">
      <c r="B737" s="1"/>
    </row>
    <row r="738" spans="2:2" ht="12.75" x14ac:dyDescent="0.2">
      <c r="B738" s="1"/>
    </row>
    <row r="739" spans="2:2" ht="12.75" x14ac:dyDescent="0.2">
      <c r="B739" s="1"/>
    </row>
    <row r="740" spans="2:2" ht="12.75" x14ac:dyDescent="0.2">
      <c r="B740" s="1"/>
    </row>
    <row r="741" spans="2:2" ht="12.75" x14ac:dyDescent="0.2">
      <c r="B741" s="1"/>
    </row>
    <row r="742" spans="2:2" ht="12.75" x14ac:dyDescent="0.2">
      <c r="B742" s="1"/>
    </row>
    <row r="743" spans="2:2" ht="12.75" x14ac:dyDescent="0.2">
      <c r="B743" s="1"/>
    </row>
    <row r="744" spans="2:2" ht="12.75" x14ac:dyDescent="0.2">
      <c r="B744" s="1"/>
    </row>
    <row r="745" spans="2:2" ht="12.75" x14ac:dyDescent="0.2">
      <c r="B745" s="1"/>
    </row>
    <row r="746" spans="2:2" ht="12.75" x14ac:dyDescent="0.2">
      <c r="B746" s="1"/>
    </row>
    <row r="747" spans="2:2" ht="12.75" x14ac:dyDescent="0.2">
      <c r="B747" s="1"/>
    </row>
    <row r="748" spans="2:2" ht="12.75" x14ac:dyDescent="0.2">
      <c r="B748" s="1"/>
    </row>
    <row r="749" spans="2:2" ht="12.75" x14ac:dyDescent="0.2">
      <c r="B749" s="1"/>
    </row>
    <row r="750" spans="2:2" ht="12.75" x14ac:dyDescent="0.2">
      <c r="B750" s="1"/>
    </row>
    <row r="751" spans="2:2" ht="12.75" x14ac:dyDescent="0.2">
      <c r="B751" s="1"/>
    </row>
    <row r="752" spans="2:2" ht="12.75" x14ac:dyDescent="0.2">
      <c r="B752" s="1"/>
    </row>
    <row r="753" spans="2:2" ht="12.75" x14ac:dyDescent="0.2">
      <c r="B753" s="1"/>
    </row>
    <row r="754" spans="2:2" ht="12.75" x14ac:dyDescent="0.2">
      <c r="B754" s="1"/>
    </row>
    <row r="755" spans="2:2" ht="12.75" x14ac:dyDescent="0.2">
      <c r="B755" s="1"/>
    </row>
    <row r="756" spans="2:2" ht="12.75" x14ac:dyDescent="0.2">
      <c r="B756" s="1"/>
    </row>
    <row r="757" spans="2:2" ht="12.75" x14ac:dyDescent="0.2">
      <c r="B757" s="1"/>
    </row>
    <row r="758" spans="2:2" ht="12.75" x14ac:dyDescent="0.2">
      <c r="B758" s="1"/>
    </row>
    <row r="759" spans="2:2" ht="12.75" x14ac:dyDescent="0.2">
      <c r="B759" s="1"/>
    </row>
    <row r="760" spans="2:2" ht="12.75" x14ac:dyDescent="0.2">
      <c r="B760" s="1"/>
    </row>
    <row r="761" spans="2:2" ht="12.75" x14ac:dyDescent="0.2">
      <c r="B761" s="1"/>
    </row>
    <row r="762" spans="2:2" ht="12.75" x14ac:dyDescent="0.2">
      <c r="B762" s="1"/>
    </row>
    <row r="763" spans="2:2" ht="12.75" x14ac:dyDescent="0.2">
      <c r="B763" s="1"/>
    </row>
    <row r="764" spans="2:2" ht="12.75" x14ac:dyDescent="0.2">
      <c r="B764" s="1"/>
    </row>
    <row r="765" spans="2:2" ht="12.75" x14ac:dyDescent="0.2">
      <c r="B765" s="1"/>
    </row>
    <row r="766" spans="2:2" ht="12.75" x14ac:dyDescent="0.2">
      <c r="B766" s="1"/>
    </row>
    <row r="767" spans="2:2" ht="12.75" x14ac:dyDescent="0.2">
      <c r="B767" s="1"/>
    </row>
    <row r="768" spans="2:2" ht="12.75" x14ac:dyDescent="0.2">
      <c r="B768" s="1"/>
    </row>
    <row r="769" spans="2:2" ht="12.75" x14ac:dyDescent="0.2">
      <c r="B769" s="1"/>
    </row>
    <row r="770" spans="2:2" ht="12.75" x14ac:dyDescent="0.2">
      <c r="B770" s="1"/>
    </row>
    <row r="771" spans="2:2" ht="12.75" x14ac:dyDescent="0.2">
      <c r="B771" s="1"/>
    </row>
    <row r="772" spans="2:2" ht="12.75" x14ac:dyDescent="0.2">
      <c r="B772" s="1"/>
    </row>
    <row r="773" spans="2:2" ht="12.75" x14ac:dyDescent="0.2">
      <c r="B773" s="1"/>
    </row>
    <row r="774" spans="2:2" ht="12.75" x14ac:dyDescent="0.2">
      <c r="B774" s="1"/>
    </row>
    <row r="775" spans="2:2" ht="12.75" x14ac:dyDescent="0.2">
      <c r="B775" s="1"/>
    </row>
    <row r="776" spans="2:2" ht="12.75" x14ac:dyDescent="0.2">
      <c r="B776" s="1"/>
    </row>
    <row r="777" spans="2:2" ht="12.75" x14ac:dyDescent="0.2">
      <c r="B777" s="1"/>
    </row>
    <row r="778" spans="2:2" ht="12.75" x14ac:dyDescent="0.2">
      <c r="B778" s="1"/>
    </row>
    <row r="779" spans="2:2" ht="12.75" x14ac:dyDescent="0.2">
      <c r="B779" s="1"/>
    </row>
    <row r="780" spans="2:2" ht="12.75" x14ac:dyDescent="0.2">
      <c r="B780" s="1"/>
    </row>
    <row r="781" spans="2:2" ht="12.75" x14ac:dyDescent="0.2">
      <c r="B781" s="1"/>
    </row>
    <row r="782" spans="2:2" ht="12.75" x14ac:dyDescent="0.2">
      <c r="B782" s="1"/>
    </row>
    <row r="783" spans="2:2" ht="12.75" x14ac:dyDescent="0.2">
      <c r="B783" s="1"/>
    </row>
    <row r="784" spans="2:2" ht="12.75" x14ac:dyDescent="0.2">
      <c r="B784" s="1"/>
    </row>
    <row r="785" spans="2:2" ht="12.75" x14ac:dyDescent="0.2">
      <c r="B785" s="1"/>
    </row>
    <row r="786" spans="2:2" ht="12.75" x14ac:dyDescent="0.2">
      <c r="B786" s="1"/>
    </row>
    <row r="787" spans="2:2" ht="12.75" x14ac:dyDescent="0.2">
      <c r="B787" s="1"/>
    </row>
    <row r="788" spans="2:2" ht="12.75" x14ac:dyDescent="0.2">
      <c r="B788" s="1"/>
    </row>
    <row r="789" spans="2:2" ht="12.75" x14ac:dyDescent="0.2">
      <c r="B789" s="1"/>
    </row>
    <row r="790" spans="2:2" ht="12.75" x14ac:dyDescent="0.2">
      <c r="B790" s="1"/>
    </row>
    <row r="791" spans="2:2" ht="12.75" x14ac:dyDescent="0.2">
      <c r="B791" s="1"/>
    </row>
    <row r="792" spans="2:2" ht="12.75" x14ac:dyDescent="0.2">
      <c r="B792" s="1"/>
    </row>
    <row r="793" spans="2:2" ht="12.75" x14ac:dyDescent="0.2">
      <c r="B793" s="1"/>
    </row>
    <row r="794" spans="2:2" ht="12.75" x14ac:dyDescent="0.2">
      <c r="B794" s="1"/>
    </row>
    <row r="795" spans="2:2" ht="12.75" x14ac:dyDescent="0.2">
      <c r="B795" s="1"/>
    </row>
    <row r="796" spans="2:2" ht="12.75" x14ac:dyDescent="0.2">
      <c r="B796" s="1"/>
    </row>
    <row r="797" spans="2:2" ht="12.75" x14ac:dyDescent="0.2">
      <c r="B797" s="1"/>
    </row>
    <row r="798" spans="2:2" ht="12.75" x14ac:dyDescent="0.2">
      <c r="B798" s="1"/>
    </row>
    <row r="799" spans="2:2" ht="12.75" x14ac:dyDescent="0.2">
      <c r="B799" s="1"/>
    </row>
    <row r="800" spans="2:2" ht="12.75" x14ac:dyDescent="0.2">
      <c r="B800" s="1"/>
    </row>
    <row r="801" spans="2:2" ht="12.75" x14ac:dyDescent="0.2">
      <c r="B801" s="1"/>
    </row>
    <row r="802" spans="2:2" ht="12.75" x14ac:dyDescent="0.2">
      <c r="B802" s="1"/>
    </row>
    <row r="803" spans="2:2" ht="12.75" x14ac:dyDescent="0.2">
      <c r="B803" s="1"/>
    </row>
    <row r="804" spans="2:2" ht="12.75" x14ac:dyDescent="0.2">
      <c r="B804" s="1"/>
    </row>
    <row r="805" spans="2:2" ht="12.75" x14ac:dyDescent="0.2">
      <c r="B805" s="1"/>
    </row>
    <row r="806" spans="2:2" ht="12.75" x14ac:dyDescent="0.2">
      <c r="B806" s="1"/>
    </row>
    <row r="807" spans="2:2" ht="12.75" x14ac:dyDescent="0.2">
      <c r="B807" s="1"/>
    </row>
    <row r="808" spans="2:2" ht="12.75" x14ac:dyDescent="0.2">
      <c r="B808" s="1"/>
    </row>
    <row r="809" spans="2:2" ht="12.75" x14ac:dyDescent="0.2">
      <c r="B809" s="1"/>
    </row>
    <row r="810" spans="2:2" ht="12.75" x14ac:dyDescent="0.2">
      <c r="B810" s="1"/>
    </row>
    <row r="811" spans="2:2" ht="12.75" x14ac:dyDescent="0.2">
      <c r="B811" s="1"/>
    </row>
    <row r="812" spans="2:2" ht="12.75" x14ac:dyDescent="0.2">
      <c r="B812" s="1"/>
    </row>
    <row r="813" spans="2:2" ht="12.75" x14ac:dyDescent="0.2">
      <c r="B813" s="1"/>
    </row>
    <row r="814" spans="2:2" ht="12.75" x14ac:dyDescent="0.2">
      <c r="B814" s="1"/>
    </row>
    <row r="815" spans="2:2" ht="12.75" x14ac:dyDescent="0.2">
      <c r="B815" s="1"/>
    </row>
    <row r="816" spans="2:2" ht="12.75" x14ac:dyDescent="0.2">
      <c r="B816" s="1"/>
    </row>
    <row r="817" spans="2:2" ht="12.75" x14ac:dyDescent="0.2">
      <c r="B817" s="1"/>
    </row>
    <row r="818" spans="2:2" ht="12.75" x14ac:dyDescent="0.2">
      <c r="B818" s="1"/>
    </row>
    <row r="819" spans="2:2" ht="12.75" x14ac:dyDescent="0.2">
      <c r="B819" s="1"/>
    </row>
    <row r="820" spans="2:2" ht="12.75" x14ac:dyDescent="0.2">
      <c r="B820" s="1"/>
    </row>
    <row r="821" spans="2:2" ht="12.75" x14ac:dyDescent="0.2">
      <c r="B821" s="1"/>
    </row>
    <row r="822" spans="2:2" ht="12.75" x14ac:dyDescent="0.2">
      <c r="B822" s="1"/>
    </row>
    <row r="823" spans="2:2" ht="12.75" x14ac:dyDescent="0.2">
      <c r="B823" s="1"/>
    </row>
    <row r="824" spans="2:2" ht="12.75" x14ac:dyDescent="0.2">
      <c r="B824" s="1"/>
    </row>
    <row r="825" spans="2:2" ht="12.75" x14ac:dyDescent="0.2">
      <c r="B825" s="1"/>
    </row>
    <row r="826" spans="2:2" ht="12.75" x14ac:dyDescent="0.2">
      <c r="B826" s="1"/>
    </row>
    <row r="827" spans="2:2" ht="12.75" x14ac:dyDescent="0.2">
      <c r="B827" s="1"/>
    </row>
    <row r="828" spans="2:2" ht="12.75" x14ac:dyDescent="0.2">
      <c r="B828" s="1"/>
    </row>
    <row r="829" spans="2:2" ht="12.75" x14ac:dyDescent="0.2">
      <c r="B829" s="1"/>
    </row>
    <row r="830" spans="2:2" ht="12.75" x14ac:dyDescent="0.2">
      <c r="B830" s="1"/>
    </row>
    <row r="831" spans="2:2" ht="12.75" x14ac:dyDescent="0.2">
      <c r="B831" s="1"/>
    </row>
    <row r="832" spans="2:2" ht="12.75" x14ac:dyDescent="0.2">
      <c r="B832" s="1"/>
    </row>
    <row r="833" spans="2:2" ht="12.75" x14ac:dyDescent="0.2">
      <c r="B833" s="1"/>
    </row>
    <row r="834" spans="2:2" ht="12.75" x14ac:dyDescent="0.2">
      <c r="B834" s="1"/>
    </row>
    <row r="835" spans="2:2" ht="12.75" x14ac:dyDescent="0.2">
      <c r="B835" s="1"/>
    </row>
    <row r="836" spans="2:2" ht="12.75" x14ac:dyDescent="0.2">
      <c r="B836" s="1"/>
    </row>
    <row r="837" spans="2:2" ht="12.75" x14ac:dyDescent="0.2">
      <c r="B837" s="1"/>
    </row>
    <row r="838" spans="2:2" ht="12.75" x14ac:dyDescent="0.2">
      <c r="B838" s="1"/>
    </row>
    <row r="839" spans="2:2" ht="12.75" x14ac:dyDescent="0.2">
      <c r="B839" s="1"/>
    </row>
    <row r="840" spans="2:2" ht="12.75" x14ac:dyDescent="0.2">
      <c r="B840" s="1"/>
    </row>
    <row r="841" spans="2:2" ht="12.75" x14ac:dyDescent="0.2">
      <c r="B841" s="1"/>
    </row>
    <row r="842" spans="2:2" ht="12.75" x14ac:dyDescent="0.2">
      <c r="B842" s="1"/>
    </row>
    <row r="843" spans="2:2" ht="12.75" x14ac:dyDescent="0.2">
      <c r="B843" s="1"/>
    </row>
    <row r="844" spans="2:2" ht="12.75" x14ac:dyDescent="0.2">
      <c r="B844" s="1"/>
    </row>
    <row r="845" spans="2:2" ht="12.75" x14ac:dyDescent="0.2">
      <c r="B845" s="1"/>
    </row>
    <row r="846" spans="2:2" ht="12.75" x14ac:dyDescent="0.2">
      <c r="B846" s="1"/>
    </row>
    <row r="847" spans="2:2" ht="12.75" x14ac:dyDescent="0.2">
      <c r="B847" s="1"/>
    </row>
    <row r="848" spans="2:2" ht="12.75" x14ac:dyDescent="0.2">
      <c r="B848" s="1"/>
    </row>
    <row r="849" spans="2:2" ht="12.75" x14ac:dyDescent="0.2">
      <c r="B849" s="1"/>
    </row>
    <row r="850" spans="2:2" ht="12.75" x14ac:dyDescent="0.2">
      <c r="B850" s="1"/>
    </row>
    <row r="851" spans="2:2" ht="12.75" x14ac:dyDescent="0.2">
      <c r="B851" s="1"/>
    </row>
    <row r="852" spans="2:2" ht="12.75" x14ac:dyDescent="0.2">
      <c r="B852" s="1"/>
    </row>
    <row r="853" spans="2:2" ht="12.75" x14ac:dyDescent="0.2">
      <c r="B853" s="1"/>
    </row>
    <row r="854" spans="2:2" ht="12.75" x14ac:dyDescent="0.2">
      <c r="B854" s="1"/>
    </row>
    <row r="855" spans="2:2" ht="12.75" x14ac:dyDescent="0.2">
      <c r="B855" s="1"/>
    </row>
    <row r="856" spans="2:2" ht="12.75" x14ac:dyDescent="0.2">
      <c r="B856" s="1"/>
    </row>
    <row r="857" spans="2:2" ht="12.75" x14ac:dyDescent="0.2">
      <c r="B857" s="1"/>
    </row>
    <row r="858" spans="2:2" ht="12.75" x14ac:dyDescent="0.2">
      <c r="B858" s="1"/>
    </row>
    <row r="859" spans="2:2" ht="12.75" x14ac:dyDescent="0.2">
      <c r="B859" s="1"/>
    </row>
    <row r="860" spans="2:2" ht="12.75" x14ac:dyDescent="0.2">
      <c r="B860" s="1"/>
    </row>
    <row r="861" spans="2:2" ht="12.75" x14ac:dyDescent="0.2">
      <c r="B861" s="1"/>
    </row>
    <row r="862" spans="2:2" ht="12.75" x14ac:dyDescent="0.2">
      <c r="B862" s="1"/>
    </row>
    <row r="863" spans="2:2" ht="12.75" x14ac:dyDescent="0.2">
      <c r="B863" s="1"/>
    </row>
    <row r="864" spans="2:2" ht="12.75" x14ac:dyDescent="0.2">
      <c r="B864" s="1"/>
    </row>
    <row r="865" spans="2:2" ht="12.75" x14ac:dyDescent="0.2">
      <c r="B865" s="1"/>
    </row>
    <row r="866" spans="2:2" ht="12.75" x14ac:dyDescent="0.2">
      <c r="B866" s="1"/>
    </row>
    <row r="867" spans="2:2" ht="12.75" x14ac:dyDescent="0.2">
      <c r="B867" s="1"/>
    </row>
    <row r="868" spans="2:2" ht="12.75" x14ac:dyDescent="0.2">
      <c r="B868" s="1"/>
    </row>
    <row r="869" spans="2:2" ht="12.75" x14ac:dyDescent="0.2">
      <c r="B869" s="1"/>
    </row>
    <row r="870" spans="2:2" ht="12.75" x14ac:dyDescent="0.2">
      <c r="B870" s="1"/>
    </row>
    <row r="871" spans="2:2" ht="12.75" x14ac:dyDescent="0.2">
      <c r="B871" s="1"/>
    </row>
    <row r="872" spans="2:2" ht="12.75" x14ac:dyDescent="0.2">
      <c r="B872" s="1"/>
    </row>
    <row r="873" spans="2:2" ht="12.75" x14ac:dyDescent="0.2">
      <c r="B873" s="1"/>
    </row>
    <row r="874" spans="2:2" ht="12.75" x14ac:dyDescent="0.2">
      <c r="B874" s="1"/>
    </row>
    <row r="875" spans="2:2" ht="12.75" x14ac:dyDescent="0.2">
      <c r="B875" s="1"/>
    </row>
    <row r="876" spans="2:2" ht="12.75" x14ac:dyDescent="0.2">
      <c r="B876" s="1"/>
    </row>
    <row r="877" spans="2:2" ht="12.75" x14ac:dyDescent="0.2">
      <c r="B877" s="1"/>
    </row>
    <row r="878" spans="2:2" ht="12.75" x14ac:dyDescent="0.2">
      <c r="B878" s="1"/>
    </row>
    <row r="879" spans="2:2" ht="12.75" x14ac:dyDescent="0.2">
      <c r="B879" s="1"/>
    </row>
    <row r="880" spans="2:2" ht="12.75" x14ac:dyDescent="0.2">
      <c r="B880" s="1"/>
    </row>
    <row r="881" spans="2:2" ht="12.75" x14ac:dyDescent="0.2">
      <c r="B881" s="1"/>
    </row>
    <row r="882" spans="2:2" ht="12.75" x14ac:dyDescent="0.2">
      <c r="B882" s="1"/>
    </row>
    <row r="883" spans="2:2" ht="12.75" x14ac:dyDescent="0.2">
      <c r="B883" s="1"/>
    </row>
    <row r="884" spans="2:2" ht="12.75" x14ac:dyDescent="0.2">
      <c r="B884" s="1"/>
    </row>
    <row r="885" spans="2:2" ht="12.75" x14ac:dyDescent="0.2">
      <c r="B885" s="1"/>
    </row>
    <row r="886" spans="2:2" ht="12.75" x14ac:dyDescent="0.2">
      <c r="B886" s="1"/>
    </row>
    <row r="887" spans="2:2" ht="12.75" x14ac:dyDescent="0.2">
      <c r="B887" s="1"/>
    </row>
    <row r="888" spans="2:2" ht="12.75" x14ac:dyDescent="0.2">
      <c r="B888" s="1"/>
    </row>
    <row r="889" spans="2:2" ht="12.75" x14ac:dyDescent="0.2">
      <c r="B889" s="1"/>
    </row>
    <row r="890" spans="2:2" ht="12.75" x14ac:dyDescent="0.2">
      <c r="B890" s="1"/>
    </row>
    <row r="891" spans="2:2" ht="12.75" x14ac:dyDescent="0.2">
      <c r="B891" s="1"/>
    </row>
    <row r="892" spans="2:2" ht="12.75" x14ac:dyDescent="0.2">
      <c r="B892" s="1"/>
    </row>
    <row r="893" spans="2:2" ht="12.75" x14ac:dyDescent="0.2">
      <c r="B893" s="1"/>
    </row>
    <row r="894" spans="2:2" ht="12.75" x14ac:dyDescent="0.2">
      <c r="B894" s="1"/>
    </row>
    <row r="895" spans="2:2" ht="12.75" x14ac:dyDescent="0.2">
      <c r="B895" s="1"/>
    </row>
    <row r="896" spans="2:2" ht="12.75" x14ac:dyDescent="0.2">
      <c r="B896" s="1"/>
    </row>
    <row r="897" spans="2:2" ht="12.75" x14ac:dyDescent="0.2">
      <c r="B897" s="1"/>
    </row>
    <row r="898" spans="2:2" ht="12.75" x14ac:dyDescent="0.2">
      <c r="B898" s="1"/>
    </row>
    <row r="899" spans="2:2" ht="12.75" x14ac:dyDescent="0.2">
      <c r="B899" s="1"/>
    </row>
    <row r="900" spans="2:2" ht="12.75" x14ac:dyDescent="0.2">
      <c r="B900" s="1"/>
    </row>
    <row r="901" spans="2:2" ht="12.75" x14ac:dyDescent="0.2">
      <c r="B901" s="1"/>
    </row>
    <row r="902" spans="2:2" ht="12.75" x14ac:dyDescent="0.2">
      <c r="B902" s="1"/>
    </row>
    <row r="903" spans="2:2" ht="12.75" x14ac:dyDescent="0.2">
      <c r="B903" s="1"/>
    </row>
    <row r="904" spans="2:2" ht="12.75" x14ac:dyDescent="0.2">
      <c r="B904" s="1"/>
    </row>
    <row r="905" spans="2:2" ht="12.75" x14ac:dyDescent="0.2">
      <c r="B905" s="1"/>
    </row>
    <row r="906" spans="2:2" ht="12.75" x14ac:dyDescent="0.2">
      <c r="B906" s="1"/>
    </row>
    <row r="907" spans="2:2" ht="12.75" x14ac:dyDescent="0.2">
      <c r="B907" s="1"/>
    </row>
    <row r="908" spans="2:2" ht="12.75" x14ac:dyDescent="0.2">
      <c r="B908" s="1"/>
    </row>
    <row r="909" spans="2:2" ht="12.75" x14ac:dyDescent="0.2">
      <c r="B909" s="1"/>
    </row>
    <row r="910" spans="2:2" ht="12.75" x14ac:dyDescent="0.2">
      <c r="B910" s="1"/>
    </row>
    <row r="911" spans="2:2" ht="12.75" x14ac:dyDescent="0.2">
      <c r="B911" s="1"/>
    </row>
    <row r="912" spans="2:2" ht="12.75" x14ac:dyDescent="0.2">
      <c r="B912" s="1"/>
    </row>
    <row r="913" spans="2:2" ht="12.75" x14ac:dyDescent="0.2">
      <c r="B913" s="1"/>
    </row>
    <row r="914" spans="2:2" ht="12.75" x14ac:dyDescent="0.2">
      <c r="B914" s="1"/>
    </row>
    <row r="915" spans="2:2" ht="12.75" x14ac:dyDescent="0.2">
      <c r="B915" s="1"/>
    </row>
    <row r="916" spans="2:2" ht="12.75" x14ac:dyDescent="0.2">
      <c r="B916" s="1"/>
    </row>
    <row r="917" spans="2:2" ht="12.75" x14ac:dyDescent="0.2">
      <c r="B917" s="1"/>
    </row>
    <row r="918" spans="2:2" ht="12.75" x14ac:dyDescent="0.2">
      <c r="B918" s="1"/>
    </row>
    <row r="919" spans="2:2" ht="12.75" x14ac:dyDescent="0.2">
      <c r="B919" s="1"/>
    </row>
    <row r="920" spans="2:2" ht="12.75" x14ac:dyDescent="0.2">
      <c r="B920" s="1"/>
    </row>
    <row r="921" spans="2:2" ht="12.75" x14ac:dyDescent="0.2">
      <c r="B921" s="1"/>
    </row>
    <row r="922" spans="2:2" ht="12.75" x14ac:dyDescent="0.2">
      <c r="B922" s="1"/>
    </row>
    <row r="923" spans="2:2" ht="12.75" x14ac:dyDescent="0.2">
      <c r="B923" s="1"/>
    </row>
    <row r="924" spans="2:2" ht="12.75" x14ac:dyDescent="0.2">
      <c r="B924" s="1"/>
    </row>
    <row r="925" spans="2:2" ht="12.75" x14ac:dyDescent="0.2">
      <c r="B925" s="1"/>
    </row>
    <row r="926" spans="2:2" ht="12.75" x14ac:dyDescent="0.2">
      <c r="B926" s="1"/>
    </row>
    <row r="927" spans="2:2" ht="12.75" x14ac:dyDescent="0.2">
      <c r="B927" s="1"/>
    </row>
    <row r="928" spans="2:2" ht="12.75" x14ac:dyDescent="0.2">
      <c r="B928" s="1"/>
    </row>
    <row r="929" spans="2:2" ht="12.75" x14ac:dyDescent="0.2">
      <c r="B929" s="1"/>
    </row>
    <row r="930" spans="2:2" ht="12.75" x14ac:dyDescent="0.2">
      <c r="B930" s="1"/>
    </row>
    <row r="931" spans="2:2" ht="12.75" x14ac:dyDescent="0.2">
      <c r="B931" s="1"/>
    </row>
    <row r="932" spans="2:2" ht="12.75" x14ac:dyDescent="0.2">
      <c r="B932" s="1"/>
    </row>
    <row r="933" spans="2:2" ht="12.75" x14ac:dyDescent="0.2">
      <c r="B933" s="1"/>
    </row>
    <row r="934" spans="2:2" ht="12.75" x14ac:dyDescent="0.2">
      <c r="B934" s="1"/>
    </row>
    <row r="935" spans="2:2" ht="12.75" x14ac:dyDescent="0.2">
      <c r="B935" s="1"/>
    </row>
    <row r="936" spans="2:2" ht="12.75" x14ac:dyDescent="0.2">
      <c r="B936" s="1"/>
    </row>
    <row r="937" spans="2:2" ht="12.75" x14ac:dyDescent="0.2">
      <c r="B937" s="1"/>
    </row>
    <row r="938" spans="2:2" ht="12.75" x14ac:dyDescent="0.2">
      <c r="B938" s="1"/>
    </row>
    <row r="939" spans="2:2" ht="12.75" x14ac:dyDescent="0.2">
      <c r="B939" s="1"/>
    </row>
    <row r="940" spans="2:2" ht="12.75" x14ac:dyDescent="0.2">
      <c r="B940" s="1"/>
    </row>
    <row r="941" spans="2:2" ht="12.75" x14ac:dyDescent="0.2">
      <c r="B941" s="1"/>
    </row>
    <row r="942" spans="2:2" ht="12.75" x14ac:dyDescent="0.2">
      <c r="B942" s="1"/>
    </row>
    <row r="943" spans="2:2" ht="12.75" x14ac:dyDescent="0.2">
      <c r="B943" s="1"/>
    </row>
    <row r="944" spans="2:2" ht="12.75" x14ac:dyDescent="0.2">
      <c r="B944" s="1"/>
    </row>
    <row r="945" spans="2:2" ht="12.75" x14ac:dyDescent="0.2">
      <c r="B945" s="1"/>
    </row>
    <row r="946" spans="2:2" ht="12.75" x14ac:dyDescent="0.2">
      <c r="B946" s="1"/>
    </row>
    <row r="947" spans="2:2" ht="12.75" x14ac:dyDescent="0.2">
      <c r="B947" s="1"/>
    </row>
    <row r="948" spans="2:2" ht="12.75" x14ac:dyDescent="0.2">
      <c r="B948" s="1"/>
    </row>
    <row r="949" spans="2:2" ht="12.75" x14ac:dyDescent="0.2">
      <c r="B949" s="1"/>
    </row>
    <row r="950" spans="2:2" ht="12.75" x14ac:dyDescent="0.2">
      <c r="B950" s="1"/>
    </row>
    <row r="951" spans="2:2" ht="12.75" x14ac:dyDescent="0.2">
      <c r="B951" s="1"/>
    </row>
    <row r="952" spans="2:2" ht="12.75" x14ac:dyDescent="0.2">
      <c r="B952" s="1"/>
    </row>
    <row r="953" spans="2:2" ht="12.75" x14ac:dyDescent="0.2">
      <c r="B953" s="1"/>
    </row>
    <row r="954" spans="2:2" ht="12.75" x14ac:dyDescent="0.2">
      <c r="B954" s="1"/>
    </row>
    <row r="955" spans="2:2" ht="12.75" x14ac:dyDescent="0.2">
      <c r="B955" s="1"/>
    </row>
    <row r="956" spans="2:2" ht="12.75" x14ac:dyDescent="0.2">
      <c r="B956" s="1"/>
    </row>
    <row r="957" spans="2:2" ht="12.75" x14ac:dyDescent="0.2">
      <c r="B957" s="1"/>
    </row>
    <row r="958" spans="2:2" ht="12.75" x14ac:dyDescent="0.2">
      <c r="B958" s="1"/>
    </row>
    <row r="959" spans="2:2" ht="12.75" x14ac:dyDescent="0.2">
      <c r="B959" s="1"/>
    </row>
    <row r="960" spans="2:2" ht="12.75" x14ac:dyDescent="0.2">
      <c r="B960" s="1"/>
    </row>
    <row r="961" spans="2:2" ht="12.75" x14ac:dyDescent="0.2">
      <c r="B961" s="1"/>
    </row>
    <row r="962" spans="2:2" ht="12.75" x14ac:dyDescent="0.2">
      <c r="B962" s="1"/>
    </row>
    <row r="963" spans="2:2" ht="12.75" x14ac:dyDescent="0.2">
      <c r="B963" s="1"/>
    </row>
    <row r="964" spans="2:2" ht="12.75" x14ac:dyDescent="0.2">
      <c r="B964" s="1"/>
    </row>
    <row r="965" spans="2:2" ht="12.75" x14ac:dyDescent="0.2">
      <c r="B965" s="1"/>
    </row>
    <row r="966" spans="2:2" ht="12.75" x14ac:dyDescent="0.2">
      <c r="B966" s="1"/>
    </row>
    <row r="967" spans="2:2" ht="12.75" x14ac:dyDescent="0.2">
      <c r="B967" s="1"/>
    </row>
    <row r="968" spans="2:2" ht="12.75" x14ac:dyDescent="0.2">
      <c r="B968" s="1"/>
    </row>
    <row r="969" spans="2:2" ht="12.75" x14ac:dyDescent="0.2">
      <c r="B969" s="1"/>
    </row>
    <row r="970" spans="2:2" ht="12.75" x14ac:dyDescent="0.2">
      <c r="B970" s="1"/>
    </row>
    <row r="971" spans="2:2" ht="12.75" x14ac:dyDescent="0.2">
      <c r="B971" s="1"/>
    </row>
    <row r="972" spans="2:2" ht="12.75" x14ac:dyDescent="0.2">
      <c r="B972" s="1"/>
    </row>
    <row r="973" spans="2:2" ht="12.75" x14ac:dyDescent="0.2">
      <c r="B973" s="1"/>
    </row>
    <row r="974" spans="2:2" ht="12.75" x14ac:dyDescent="0.2">
      <c r="B974" s="1"/>
    </row>
    <row r="975" spans="2:2" ht="12.75" x14ac:dyDescent="0.2">
      <c r="B975" s="1"/>
    </row>
    <row r="976" spans="2:2" ht="12.75" x14ac:dyDescent="0.2">
      <c r="B976" s="1"/>
    </row>
    <row r="977" spans="2:2" ht="12.75" x14ac:dyDescent="0.2">
      <c r="B977" s="1"/>
    </row>
    <row r="978" spans="2:2" ht="12.75" x14ac:dyDescent="0.2">
      <c r="B978" s="1"/>
    </row>
    <row r="979" spans="2:2" ht="12.75" x14ac:dyDescent="0.2">
      <c r="B979" s="1"/>
    </row>
    <row r="980" spans="2:2" ht="12.75" x14ac:dyDescent="0.2">
      <c r="B980" s="1"/>
    </row>
    <row r="981" spans="2:2" ht="12.75" x14ac:dyDescent="0.2">
      <c r="B981" s="1"/>
    </row>
    <row r="982" spans="2:2" ht="12.75" x14ac:dyDescent="0.2">
      <c r="B982" s="1"/>
    </row>
    <row r="983" spans="2:2" ht="12.75" x14ac:dyDescent="0.2">
      <c r="B983" s="1"/>
    </row>
    <row r="984" spans="2:2" ht="12.75" x14ac:dyDescent="0.2">
      <c r="B984" s="1"/>
    </row>
    <row r="985" spans="2:2" ht="12.75" x14ac:dyDescent="0.2">
      <c r="B985" s="1"/>
    </row>
    <row r="986" spans="2:2" ht="12.75" x14ac:dyDescent="0.2">
      <c r="B986" s="1"/>
    </row>
    <row r="987" spans="2:2" ht="12.75" x14ac:dyDescent="0.2">
      <c r="B987" s="1"/>
    </row>
    <row r="988" spans="2:2" ht="12.75" x14ac:dyDescent="0.2">
      <c r="B988" s="1"/>
    </row>
    <row r="989" spans="2:2" ht="12.75" x14ac:dyDescent="0.2">
      <c r="B989" s="1"/>
    </row>
    <row r="990" spans="2:2" ht="12.75" x14ac:dyDescent="0.2">
      <c r="B990" s="1"/>
    </row>
    <row r="991" spans="2:2" ht="12.75" x14ac:dyDescent="0.2">
      <c r="B991" s="1"/>
    </row>
    <row r="992" spans="2:2" ht="12.75" x14ac:dyDescent="0.2">
      <c r="B992" s="1"/>
    </row>
    <row r="993" spans="2:2" ht="12.75" x14ac:dyDescent="0.2">
      <c r="B993" s="1"/>
    </row>
    <row r="994" spans="2:2" ht="12.75" x14ac:dyDescent="0.2">
      <c r="B994" s="1"/>
    </row>
    <row r="995" spans="2:2" ht="12.75" x14ac:dyDescent="0.2">
      <c r="B995" s="1"/>
    </row>
    <row r="996" spans="2:2" ht="12.75" x14ac:dyDescent="0.2">
      <c r="B996" s="1"/>
    </row>
    <row r="997" spans="2:2" ht="12.75" x14ac:dyDescent="0.2">
      <c r="B997" s="1"/>
    </row>
    <row r="998" spans="2:2" ht="12.75" x14ac:dyDescent="0.2">
      <c r="B998" s="1"/>
    </row>
    <row r="999" spans="2:2" ht="12.75" x14ac:dyDescent="0.2">
      <c r="B999" s="1"/>
    </row>
    <row r="1000" spans="2:2" ht="12.75" x14ac:dyDescent="0.2">
      <c r="B1000" s="1"/>
    </row>
    <row r="1001" spans="2:2" ht="12.75" x14ac:dyDescent="0.2">
      <c r="B1001" s="1"/>
    </row>
    <row r="1002" spans="2:2" ht="12.75" x14ac:dyDescent="0.2">
      <c r="B1002" s="1"/>
    </row>
    <row r="1003" spans="2:2" ht="12.75" x14ac:dyDescent="0.2">
      <c r="B1003" s="1"/>
    </row>
    <row r="1004" spans="2:2" ht="12.75" x14ac:dyDescent="0.2">
      <c r="B1004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E3C5-6B1B-40DB-B285-38801EE8326A}">
  <sheetPr>
    <tabColor rgb="FF92D050"/>
  </sheetPr>
  <dimension ref="A1:H14"/>
  <sheetViews>
    <sheetView workbookViewId="0">
      <selection activeCell="E24" sqref="E24"/>
    </sheetView>
  </sheetViews>
  <sheetFormatPr baseColWidth="10" defaultColWidth="11.42578125" defaultRowHeight="12.75" x14ac:dyDescent="0.2"/>
  <cols>
    <col min="1" max="1" width="22.42578125" bestFit="1" customWidth="1"/>
    <col min="2" max="2" width="11.28515625" bestFit="1" customWidth="1"/>
    <col min="5" max="5" width="10" customWidth="1"/>
    <col min="7" max="7" width="12.7109375" bestFit="1" customWidth="1"/>
  </cols>
  <sheetData>
    <row r="1" spans="1:8" x14ac:dyDescent="0.2">
      <c r="A1" s="4" t="s">
        <v>32</v>
      </c>
      <c r="B1" s="3" t="s">
        <v>33</v>
      </c>
      <c r="C1" s="8"/>
      <c r="D1" s="6" t="s">
        <v>34</v>
      </c>
      <c r="E1" s="6" t="s">
        <v>35</v>
      </c>
      <c r="F1" s="6" t="s">
        <v>36</v>
      </c>
      <c r="G1" s="6" t="s">
        <v>74</v>
      </c>
    </row>
    <row r="2" spans="1:8" ht="15" customHeight="1" x14ac:dyDescent="0.2">
      <c r="A2" s="40" t="s">
        <v>28</v>
      </c>
      <c r="B2" s="41">
        <v>500000</v>
      </c>
      <c r="C2" s="29"/>
      <c r="D2" s="22">
        <v>125000</v>
      </c>
      <c r="E2" s="22">
        <f>125000+125000+125000+125000</f>
        <v>500000</v>
      </c>
      <c r="F2" s="22">
        <f t="shared" ref="F2:F13" si="0">+B2-E2</f>
        <v>0</v>
      </c>
      <c r="G2" s="42">
        <v>46233</v>
      </c>
    </row>
    <row r="3" spans="1:8" ht="15" customHeight="1" x14ac:dyDescent="0.2">
      <c r="A3" s="2" t="s">
        <v>37</v>
      </c>
      <c r="B3" s="1">
        <v>240000</v>
      </c>
      <c r="D3" s="14"/>
      <c r="E3" s="14"/>
      <c r="F3" s="14">
        <f t="shared" si="0"/>
        <v>240000</v>
      </c>
      <c r="G3" s="39">
        <v>46264</v>
      </c>
    </row>
    <row r="4" spans="1:8" ht="15" customHeight="1" x14ac:dyDescent="0.2">
      <c r="A4" s="2" t="s">
        <v>40</v>
      </c>
      <c r="B4" s="1">
        <f>270000*2</f>
        <v>540000</v>
      </c>
      <c r="D4" s="14">
        <v>270000</v>
      </c>
      <c r="E4" s="14">
        <v>270000</v>
      </c>
      <c r="F4" s="14">
        <f t="shared" si="0"/>
        <v>270000</v>
      </c>
      <c r="G4" s="35">
        <v>46264</v>
      </c>
    </row>
    <row r="5" spans="1:8" ht="15" customHeight="1" x14ac:dyDescent="0.2">
      <c r="A5" s="2" t="s">
        <v>41</v>
      </c>
      <c r="B5" s="1">
        <v>355000</v>
      </c>
      <c r="D5" s="14">
        <v>130000</v>
      </c>
      <c r="E5" s="14"/>
      <c r="F5" s="14">
        <f t="shared" si="0"/>
        <v>355000</v>
      </c>
      <c r="G5" s="35">
        <v>46280</v>
      </c>
    </row>
    <row r="6" spans="1:8" ht="15" customHeight="1" x14ac:dyDescent="0.2">
      <c r="A6" s="2" t="s">
        <v>39</v>
      </c>
      <c r="B6" s="1">
        <v>1000000</v>
      </c>
      <c r="D6" s="14"/>
      <c r="E6" s="14"/>
      <c r="F6" s="14">
        <f t="shared" si="0"/>
        <v>1000000</v>
      </c>
      <c r="G6" s="39">
        <v>46325</v>
      </c>
    </row>
    <row r="7" spans="1:8" ht="15" customHeight="1" x14ac:dyDescent="0.2">
      <c r="A7" s="2" t="s">
        <v>38</v>
      </c>
      <c r="B7" s="1">
        <v>2000000</v>
      </c>
      <c r="D7" s="14"/>
      <c r="E7" s="14">
        <v>200000</v>
      </c>
      <c r="F7" s="14">
        <f t="shared" si="0"/>
        <v>1800000</v>
      </c>
      <c r="G7" s="39">
        <v>46356</v>
      </c>
    </row>
    <row r="8" spans="1:8" ht="15" customHeight="1" x14ac:dyDescent="0.2">
      <c r="A8" s="2" t="s">
        <v>29</v>
      </c>
      <c r="B8" s="1">
        <f>2200000+2000000</f>
        <v>4200000</v>
      </c>
      <c r="D8" s="14"/>
      <c r="E8" s="14"/>
      <c r="F8" s="14">
        <f t="shared" si="0"/>
        <v>4200000</v>
      </c>
      <c r="G8" s="39">
        <v>46417</v>
      </c>
    </row>
    <row r="9" spans="1:8" ht="15" customHeight="1" x14ac:dyDescent="0.2">
      <c r="A9" s="2" t="s">
        <v>21</v>
      </c>
      <c r="B9" s="1">
        <v>5000000</v>
      </c>
      <c r="D9" s="14"/>
      <c r="E9" s="14"/>
      <c r="F9" s="14">
        <f t="shared" si="0"/>
        <v>5000000</v>
      </c>
      <c r="G9" s="35">
        <v>46417</v>
      </c>
      <c r="H9" s="13"/>
    </row>
    <row r="10" spans="1:8" ht="15" customHeight="1" x14ac:dyDescent="0.2">
      <c r="A10" s="2" t="s">
        <v>42</v>
      </c>
      <c r="B10" s="1">
        <f>800000+130000+400000</f>
        <v>1330000</v>
      </c>
      <c r="D10" s="5"/>
      <c r="E10" s="5"/>
      <c r="F10" s="5">
        <f t="shared" si="0"/>
        <v>1330000</v>
      </c>
      <c r="G10" s="39">
        <v>46433</v>
      </c>
      <c r="H10" s="13"/>
    </row>
    <row r="11" spans="1:8" ht="15" customHeight="1" x14ac:dyDescent="0.2">
      <c r="A11" s="2" t="s">
        <v>43</v>
      </c>
      <c r="B11" s="1">
        <v>3000000</v>
      </c>
      <c r="D11" s="5"/>
      <c r="E11" s="5"/>
      <c r="F11" s="5">
        <f t="shared" si="0"/>
        <v>3000000</v>
      </c>
      <c r="G11" s="39">
        <v>46446</v>
      </c>
    </row>
    <row r="12" spans="1:8" ht="15" customHeight="1" x14ac:dyDescent="0.2">
      <c r="A12" s="2" t="s">
        <v>77</v>
      </c>
      <c r="B12" s="1">
        <v>2297000</v>
      </c>
      <c r="D12" s="5"/>
      <c r="E12" s="5"/>
      <c r="F12" s="5">
        <f t="shared" si="0"/>
        <v>2297000</v>
      </c>
      <c r="G12" s="39"/>
    </row>
    <row r="13" spans="1:8" ht="15" customHeight="1" x14ac:dyDescent="0.2">
      <c r="A13" s="2" t="s">
        <v>22</v>
      </c>
      <c r="B13" s="13">
        <v>38862000</v>
      </c>
      <c r="D13" s="14"/>
      <c r="E13" s="14"/>
      <c r="F13" s="14">
        <f t="shared" si="0"/>
        <v>38862000</v>
      </c>
      <c r="G13" s="35">
        <v>46751</v>
      </c>
    </row>
    <row r="14" spans="1:8" x14ac:dyDescent="0.2">
      <c r="B14" s="1">
        <f>SUM(B2:B13)</f>
        <v>59324000</v>
      </c>
      <c r="D14" s="5"/>
      <c r="E14" s="5"/>
      <c r="F14" s="5"/>
    </row>
  </sheetData>
  <autoFilter ref="A1:G1" xr:uid="{1932E3C5-6B1B-40DB-B285-38801EE8326A}">
    <sortState xmlns:xlrd2="http://schemas.microsoft.com/office/spreadsheetml/2017/richdata2" ref="A2:G13">
      <sortCondition ref="G1"/>
    </sortState>
  </autoFilter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A3800-ECA8-480C-A2EA-B45B777C16DE}">
  <sheetPr>
    <tabColor rgb="FF92D050"/>
  </sheetPr>
  <dimension ref="A1:E26"/>
  <sheetViews>
    <sheetView topLeftCell="A3" workbookViewId="0">
      <selection activeCell="D20" sqref="D20"/>
    </sheetView>
  </sheetViews>
  <sheetFormatPr baseColWidth="10" defaultColWidth="10.7109375" defaultRowHeight="12.75" x14ac:dyDescent="0.2"/>
  <cols>
    <col min="2" max="2" width="13.85546875" customWidth="1"/>
    <col min="4" max="4" width="13" bestFit="1" customWidth="1"/>
  </cols>
  <sheetData>
    <row r="1" spans="1:5" x14ac:dyDescent="0.2">
      <c r="A1" s="18" t="s">
        <v>52</v>
      </c>
      <c r="B1" s="18" t="s">
        <v>53</v>
      </c>
      <c r="C1">
        <v>142000</v>
      </c>
      <c r="D1" s="5">
        <f>+C1*24</f>
        <v>3408000</v>
      </c>
    </row>
    <row r="3" spans="1:5" x14ac:dyDescent="0.2">
      <c r="A3" s="29">
        <v>1</v>
      </c>
      <c r="B3" s="31" t="s">
        <v>62</v>
      </c>
      <c r="C3" s="22">
        <v>142000</v>
      </c>
    </row>
    <row r="4" spans="1:5" x14ac:dyDescent="0.2">
      <c r="A4" s="29">
        <v>2</v>
      </c>
      <c r="B4" s="31" t="s">
        <v>61</v>
      </c>
      <c r="C4" s="22">
        <v>142000</v>
      </c>
    </row>
    <row r="5" spans="1:5" x14ac:dyDescent="0.2">
      <c r="A5" s="29">
        <v>3</v>
      </c>
      <c r="B5" s="31" t="s">
        <v>60</v>
      </c>
      <c r="C5" s="22">
        <v>142000</v>
      </c>
    </row>
    <row r="6" spans="1:5" x14ac:dyDescent="0.2">
      <c r="A6" s="29">
        <v>4</v>
      </c>
      <c r="B6" s="31" t="s">
        <v>59</v>
      </c>
      <c r="C6" s="22">
        <v>142000</v>
      </c>
    </row>
    <row r="7" spans="1:5" x14ac:dyDescent="0.2">
      <c r="A7" s="29">
        <v>5</v>
      </c>
      <c r="B7" s="31" t="s">
        <v>58</v>
      </c>
      <c r="C7" s="22">
        <v>142000</v>
      </c>
    </row>
    <row r="8" spans="1:5" x14ac:dyDescent="0.2">
      <c r="A8" s="29">
        <v>6</v>
      </c>
      <c r="B8" s="31" t="s">
        <v>57</v>
      </c>
      <c r="C8" s="22">
        <v>142000</v>
      </c>
    </row>
    <row r="9" spans="1:5" x14ac:dyDescent="0.2">
      <c r="A9" s="29">
        <v>7</v>
      </c>
      <c r="B9" s="31" t="s">
        <v>56</v>
      </c>
      <c r="C9" s="22">
        <v>142000</v>
      </c>
    </row>
    <row r="10" spans="1:5" x14ac:dyDescent="0.2">
      <c r="A10" s="29">
        <v>8</v>
      </c>
      <c r="B10" s="31" t="s">
        <v>55</v>
      </c>
      <c r="C10" s="22">
        <v>142000</v>
      </c>
    </row>
    <row r="11" spans="1:5" x14ac:dyDescent="0.2">
      <c r="A11" s="29">
        <v>9</v>
      </c>
      <c r="B11" s="31" t="s">
        <v>54</v>
      </c>
      <c r="C11" s="22">
        <v>142000</v>
      </c>
      <c r="D11" s="18" t="s">
        <v>36</v>
      </c>
    </row>
    <row r="12" spans="1:5" x14ac:dyDescent="0.2">
      <c r="A12">
        <v>10</v>
      </c>
      <c r="B12" s="18" t="s">
        <v>63</v>
      </c>
      <c r="C12" s="5">
        <v>142000</v>
      </c>
      <c r="D12" s="13">
        <v>1988000</v>
      </c>
    </row>
    <row r="13" spans="1:5" x14ac:dyDescent="0.2">
      <c r="A13">
        <v>11</v>
      </c>
      <c r="B13" s="18" t="s">
        <v>64</v>
      </c>
      <c r="C13" s="5">
        <v>142000</v>
      </c>
      <c r="D13" s="13">
        <v>1846000</v>
      </c>
    </row>
    <row r="14" spans="1:5" x14ac:dyDescent="0.2">
      <c r="A14">
        <v>12</v>
      </c>
      <c r="B14" s="18" t="s">
        <v>65</v>
      </c>
      <c r="C14" s="5">
        <v>142000</v>
      </c>
      <c r="D14" s="13">
        <v>1704000</v>
      </c>
    </row>
    <row r="15" spans="1:5" x14ac:dyDescent="0.2">
      <c r="A15">
        <v>13</v>
      </c>
      <c r="B15" s="18" t="s">
        <v>62</v>
      </c>
      <c r="C15" s="5">
        <v>142000</v>
      </c>
      <c r="D15" s="13">
        <v>1562000</v>
      </c>
    </row>
    <row r="16" spans="1:5" x14ac:dyDescent="0.2">
      <c r="A16" s="32">
        <v>14</v>
      </c>
      <c r="B16" s="33" t="s">
        <v>61</v>
      </c>
      <c r="C16" s="24"/>
      <c r="D16" s="34">
        <v>1420000</v>
      </c>
      <c r="E16" s="33" t="s">
        <v>66</v>
      </c>
    </row>
    <row r="17" spans="1:4" x14ac:dyDescent="0.2">
      <c r="A17">
        <v>15</v>
      </c>
      <c r="B17" s="18" t="s">
        <v>60</v>
      </c>
      <c r="C17" s="5"/>
      <c r="D17" s="13">
        <v>1420000</v>
      </c>
    </row>
    <row r="18" spans="1:4" x14ac:dyDescent="0.2">
      <c r="A18">
        <v>16</v>
      </c>
      <c r="B18" s="18" t="s">
        <v>59</v>
      </c>
      <c r="C18" s="5"/>
      <c r="D18" s="13">
        <v>1278000</v>
      </c>
    </row>
    <row r="19" spans="1:4" x14ac:dyDescent="0.2">
      <c r="A19">
        <v>17</v>
      </c>
      <c r="B19" s="18" t="s">
        <v>58</v>
      </c>
      <c r="C19" s="5"/>
      <c r="D19" s="13">
        <v>1136000</v>
      </c>
    </row>
    <row r="20" spans="1:4" x14ac:dyDescent="0.2">
      <c r="A20">
        <v>18</v>
      </c>
      <c r="B20" s="18" t="s">
        <v>57</v>
      </c>
      <c r="C20" s="5"/>
      <c r="D20" s="13">
        <v>994000</v>
      </c>
    </row>
    <row r="21" spans="1:4" x14ac:dyDescent="0.2">
      <c r="A21">
        <v>19</v>
      </c>
      <c r="B21" s="18" t="s">
        <v>56</v>
      </c>
      <c r="C21" s="5"/>
      <c r="D21" s="13">
        <v>852000</v>
      </c>
    </row>
    <row r="22" spans="1:4" x14ac:dyDescent="0.2">
      <c r="A22">
        <v>20</v>
      </c>
      <c r="B22" s="18" t="s">
        <v>55</v>
      </c>
      <c r="C22" s="5"/>
      <c r="D22" s="13">
        <v>710000</v>
      </c>
    </row>
    <row r="23" spans="1:4" x14ac:dyDescent="0.2">
      <c r="A23">
        <v>21</v>
      </c>
      <c r="B23" s="18" t="s">
        <v>54</v>
      </c>
      <c r="C23" s="5"/>
      <c r="D23" s="13">
        <v>568000</v>
      </c>
    </row>
    <row r="24" spans="1:4" x14ac:dyDescent="0.2">
      <c r="A24">
        <v>22</v>
      </c>
      <c r="B24" s="18" t="s">
        <v>63</v>
      </c>
      <c r="C24" s="5"/>
      <c r="D24" s="13">
        <v>426000</v>
      </c>
    </row>
    <row r="25" spans="1:4" x14ac:dyDescent="0.2">
      <c r="A25">
        <v>23</v>
      </c>
      <c r="B25" s="18" t="s">
        <v>64</v>
      </c>
      <c r="C25" s="5"/>
      <c r="D25" s="13">
        <v>284000</v>
      </c>
    </row>
    <row r="26" spans="1:4" x14ac:dyDescent="0.2">
      <c r="A26">
        <v>24</v>
      </c>
      <c r="B26" s="18" t="s">
        <v>65</v>
      </c>
      <c r="C26" s="5"/>
      <c r="D26" s="13">
        <v>142000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54B0-F297-4AC5-BE4E-4438D6160153}">
  <sheetPr>
    <tabColor rgb="FF92D050"/>
  </sheetPr>
  <dimension ref="A1:H27"/>
  <sheetViews>
    <sheetView workbookViewId="0">
      <selection activeCell="G13" sqref="G13"/>
    </sheetView>
  </sheetViews>
  <sheetFormatPr baseColWidth="10" defaultColWidth="10.7109375" defaultRowHeight="12.75" x14ac:dyDescent="0.2"/>
  <cols>
    <col min="5" max="5" width="13" bestFit="1" customWidth="1"/>
  </cols>
  <sheetData>
    <row r="1" spans="1:8" x14ac:dyDescent="0.2">
      <c r="A1" s="18" t="s">
        <v>67</v>
      </c>
      <c r="C1" s="18" t="s">
        <v>68</v>
      </c>
      <c r="E1" s="5">
        <f>+(12*200000)+(24*100000)</f>
        <v>4800000</v>
      </c>
    </row>
    <row r="2" spans="1:8" x14ac:dyDescent="0.2">
      <c r="G2" s="18" t="s">
        <v>36</v>
      </c>
    </row>
    <row r="3" spans="1:8" x14ac:dyDescent="0.2">
      <c r="A3">
        <v>1</v>
      </c>
      <c r="B3" s="5">
        <v>200000</v>
      </c>
      <c r="C3" s="35">
        <v>46233</v>
      </c>
      <c r="G3" s="13">
        <f>+E1-B3</f>
        <v>4600000</v>
      </c>
    </row>
    <row r="4" spans="1:8" x14ac:dyDescent="0.2">
      <c r="A4">
        <v>2</v>
      </c>
      <c r="B4" s="5">
        <v>200000</v>
      </c>
      <c r="C4" s="35">
        <v>46264</v>
      </c>
      <c r="D4">
        <v>1</v>
      </c>
      <c r="E4">
        <v>100000</v>
      </c>
      <c r="F4" s="35">
        <v>46264</v>
      </c>
      <c r="G4" s="13">
        <f>+G3-B4-E4</f>
        <v>4300000</v>
      </c>
    </row>
    <row r="5" spans="1:8" x14ac:dyDescent="0.2">
      <c r="A5">
        <v>3</v>
      </c>
      <c r="B5" s="5">
        <v>200000</v>
      </c>
      <c r="C5" s="35">
        <v>46295</v>
      </c>
      <c r="D5">
        <v>2</v>
      </c>
      <c r="E5">
        <v>100000</v>
      </c>
      <c r="F5" s="35">
        <v>46295</v>
      </c>
      <c r="G5" s="13">
        <f>+G4-B5-E5</f>
        <v>4000000</v>
      </c>
    </row>
    <row r="6" spans="1:8" x14ac:dyDescent="0.2">
      <c r="A6">
        <v>4</v>
      </c>
      <c r="B6" s="5">
        <v>200000</v>
      </c>
      <c r="C6" s="35">
        <v>46325</v>
      </c>
      <c r="D6">
        <v>3</v>
      </c>
      <c r="E6">
        <v>100000</v>
      </c>
      <c r="F6" s="35">
        <v>46325</v>
      </c>
      <c r="G6" s="13">
        <f t="shared" ref="G6:G27" si="0">+G5-B6-E6</f>
        <v>3700000</v>
      </c>
    </row>
    <row r="7" spans="1:8" x14ac:dyDescent="0.2">
      <c r="A7">
        <v>5</v>
      </c>
      <c r="B7" s="5">
        <v>200000</v>
      </c>
      <c r="C7" s="35">
        <v>46356</v>
      </c>
      <c r="D7">
        <v>4</v>
      </c>
      <c r="E7">
        <v>100000</v>
      </c>
      <c r="F7" s="35">
        <v>46356</v>
      </c>
      <c r="G7" s="13">
        <f t="shared" si="0"/>
        <v>3400000</v>
      </c>
    </row>
    <row r="8" spans="1:8" x14ac:dyDescent="0.2">
      <c r="A8">
        <v>6</v>
      </c>
      <c r="B8" s="5">
        <v>200000</v>
      </c>
      <c r="C8" s="35">
        <v>46386</v>
      </c>
      <c r="D8">
        <v>5</v>
      </c>
      <c r="E8">
        <v>100000</v>
      </c>
      <c r="F8" s="35">
        <v>46386</v>
      </c>
      <c r="G8" s="13">
        <f t="shared" si="0"/>
        <v>3100000</v>
      </c>
    </row>
    <row r="9" spans="1:8" x14ac:dyDescent="0.2">
      <c r="A9" s="32">
        <v>7</v>
      </c>
      <c r="B9" s="24">
        <v>200000</v>
      </c>
      <c r="C9" s="37">
        <v>46417</v>
      </c>
      <c r="D9" s="32">
        <v>6</v>
      </c>
      <c r="E9" s="32">
        <v>100000</v>
      </c>
      <c r="F9" s="37">
        <v>46417</v>
      </c>
      <c r="G9" s="34">
        <f t="shared" si="0"/>
        <v>2800000</v>
      </c>
      <c r="H9" s="33" t="s">
        <v>70</v>
      </c>
    </row>
    <row r="10" spans="1:8" x14ac:dyDescent="0.2">
      <c r="A10">
        <v>8</v>
      </c>
      <c r="B10" s="5">
        <v>200000</v>
      </c>
      <c r="C10" s="35">
        <v>46446</v>
      </c>
      <c r="D10">
        <v>7</v>
      </c>
      <c r="E10">
        <v>100000</v>
      </c>
      <c r="F10" s="35">
        <v>46446</v>
      </c>
      <c r="G10" s="13">
        <f t="shared" si="0"/>
        <v>2500000</v>
      </c>
    </row>
    <row r="11" spans="1:8" x14ac:dyDescent="0.2">
      <c r="A11">
        <v>9</v>
      </c>
      <c r="B11" s="5">
        <v>200000</v>
      </c>
      <c r="C11" s="35">
        <v>46476</v>
      </c>
      <c r="D11">
        <v>8</v>
      </c>
      <c r="E11">
        <v>100000</v>
      </c>
      <c r="F11" s="35">
        <v>46476</v>
      </c>
      <c r="G11" s="13">
        <f t="shared" si="0"/>
        <v>2200000</v>
      </c>
    </row>
    <row r="12" spans="1:8" x14ac:dyDescent="0.2">
      <c r="A12">
        <v>10</v>
      </c>
      <c r="B12" s="5">
        <v>200000</v>
      </c>
      <c r="C12" s="35">
        <v>46507</v>
      </c>
      <c r="D12">
        <v>9</v>
      </c>
      <c r="E12">
        <v>100000</v>
      </c>
      <c r="F12" s="35">
        <v>46507</v>
      </c>
      <c r="G12" s="13">
        <f t="shared" si="0"/>
        <v>1900000</v>
      </c>
    </row>
    <row r="13" spans="1:8" x14ac:dyDescent="0.2">
      <c r="A13">
        <v>11</v>
      </c>
      <c r="B13" s="5">
        <v>200000</v>
      </c>
      <c r="C13" s="35">
        <v>46537</v>
      </c>
      <c r="D13">
        <v>10</v>
      </c>
      <c r="E13">
        <v>100000</v>
      </c>
      <c r="F13" s="35">
        <v>46537</v>
      </c>
      <c r="G13" s="13">
        <f t="shared" si="0"/>
        <v>1600000</v>
      </c>
    </row>
    <row r="14" spans="1:8" x14ac:dyDescent="0.2">
      <c r="A14">
        <v>12</v>
      </c>
      <c r="B14" s="5">
        <v>200000</v>
      </c>
      <c r="C14" s="35">
        <v>46568</v>
      </c>
      <c r="D14">
        <v>11</v>
      </c>
      <c r="E14">
        <v>100000</v>
      </c>
      <c r="F14" s="35">
        <v>46568</v>
      </c>
      <c r="G14" s="13">
        <f t="shared" si="0"/>
        <v>1300000</v>
      </c>
    </row>
    <row r="15" spans="1:8" x14ac:dyDescent="0.2">
      <c r="D15">
        <v>12</v>
      </c>
      <c r="E15">
        <v>100000</v>
      </c>
      <c r="F15" s="35">
        <v>46264</v>
      </c>
      <c r="G15" s="13">
        <f t="shared" si="0"/>
        <v>1200000</v>
      </c>
    </row>
    <row r="16" spans="1:8" x14ac:dyDescent="0.2">
      <c r="D16">
        <v>13</v>
      </c>
      <c r="E16">
        <v>100000</v>
      </c>
      <c r="F16" s="35">
        <v>46295</v>
      </c>
      <c r="G16" s="13">
        <f t="shared" si="0"/>
        <v>1100000</v>
      </c>
    </row>
    <row r="17" spans="4:7" x14ac:dyDescent="0.2">
      <c r="D17">
        <v>14</v>
      </c>
      <c r="E17">
        <v>100000</v>
      </c>
      <c r="F17" s="35">
        <v>46325</v>
      </c>
      <c r="G17" s="13">
        <f t="shared" si="0"/>
        <v>1000000</v>
      </c>
    </row>
    <row r="18" spans="4:7" x14ac:dyDescent="0.2">
      <c r="D18">
        <v>15</v>
      </c>
      <c r="E18">
        <v>100000</v>
      </c>
      <c r="F18" s="35">
        <v>46356</v>
      </c>
      <c r="G18" s="13">
        <f t="shared" si="0"/>
        <v>900000</v>
      </c>
    </row>
    <row r="19" spans="4:7" x14ac:dyDescent="0.2">
      <c r="D19">
        <v>16</v>
      </c>
      <c r="E19">
        <v>100000</v>
      </c>
      <c r="F19" s="35">
        <v>46386</v>
      </c>
      <c r="G19" s="13">
        <f t="shared" si="0"/>
        <v>800000</v>
      </c>
    </row>
    <row r="20" spans="4:7" x14ac:dyDescent="0.2">
      <c r="D20">
        <v>17</v>
      </c>
      <c r="E20">
        <v>100000</v>
      </c>
      <c r="F20" s="35">
        <v>46417</v>
      </c>
      <c r="G20" s="13">
        <f t="shared" si="0"/>
        <v>700000</v>
      </c>
    </row>
    <row r="21" spans="4:7" x14ac:dyDescent="0.2">
      <c r="D21">
        <v>18</v>
      </c>
      <c r="E21">
        <v>100000</v>
      </c>
      <c r="F21" s="35">
        <v>46446</v>
      </c>
      <c r="G21" s="13">
        <f t="shared" si="0"/>
        <v>600000</v>
      </c>
    </row>
    <row r="22" spans="4:7" x14ac:dyDescent="0.2">
      <c r="D22">
        <v>19</v>
      </c>
      <c r="E22">
        <v>100000</v>
      </c>
      <c r="F22" s="35">
        <v>46476</v>
      </c>
      <c r="G22" s="13">
        <f t="shared" si="0"/>
        <v>500000</v>
      </c>
    </row>
    <row r="23" spans="4:7" x14ac:dyDescent="0.2">
      <c r="D23">
        <v>20</v>
      </c>
      <c r="E23">
        <v>100000</v>
      </c>
      <c r="F23" s="35">
        <v>46507</v>
      </c>
      <c r="G23" s="13">
        <f t="shared" si="0"/>
        <v>400000</v>
      </c>
    </row>
    <row r="24" spans="4:7" x14ac:dyDescent="0.2">
      <c r="D24">
        <v>21</v>
      </c>
      <c r="E24">
        <v>100000</v>
      </c>
      <c r="F24" s="35">
        <v>46537</v>
      </c>
      <c r="G24" s="13">
        <f t="shared" si="0"/>
        <v>300000</v>
      </c>
    </row>
    <row r="25" spans="4:7" x14ac:dyDescent="0.2">
      <c r="D25">
        <v>22</v>
      </c>
      <c r="E25">
        <v>100000</v>
      </c>
      <c r="F25" s="35">
        <v>46568</v>
      </c>
      <c r="G25" s="13">
        <f t="shared" si="0"/>
        <v>200000</v>
      </c>
    </row>
    <row r="26" spans="4:7" x14ac:dyDescent="0.2">
      <c r="D26">
        <v>23</v>
      </c>
      <c r="E26">
        <v>100000</v>
      </c>
      <c r="F26" s="35">
        <v>46264</v>
      </c>
      <c r="G26" s="13">
        <f t="shared" si="0"/>
        <v>100000</v>
      </c>
    </row>
    <row r="27" spans="4:7" x14ac:dyDescent="0.2">
      <c r="D27">
        <v>24</v>
      </c>
      <c r="E27">
        <v>100000</v>
      </c>
      <c r="F27" s="35">
        <v>46295</v>
      </c>
      <c r="G27" s="13">
        <f t="shared" si="0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E0E9-2E43-4B14-97E0-C5AA64E7F0C4}">
  <sheetPr>
    <tabColor rgb="FF92D050"/>
  </sheetPr>
  <dimension ref="A1:G62"/>
  <sheetViews>
    <sheetView topLeftCell="A19" workbookViewId="0">
      <selection activeCell="G27" sqref="G27"/>
    </sheetView>
  </sheetViews>
  <sheetFormatPr baseColWidth="10" defaultColWidth="11.42578125" defaultRowHeight="12.75" x14ac:dyDescent="0.2"/>
  <cols>
    <col min="3" max="3" width="4.85546875" customWidth="1"/>
    <col min="5" max="5" width="18.42578125" customWidth="1"/>
  </cols>
  <sheetData>
    <row r="1" spans="1:7" x14ac:dyDescent="0.2">
      <c r="A1" s="29">
        <v>1</v>
      </c>
      <c r="B1" s="30">
        <v>45931</v>
      </c>
      <c r="C1" s="29"/>
      <c r="D1" s="22">
        <v>762000</v>
      </c>
    </row>
    <row r="2" spans="1:7" x14ac:dyDescent="0.2">
      <c r="A2" s="29">
        <v>2</v>
      </c>
      <c r="B2" s="30">
        <v>45962</v>
      </c>
      <c r="C2" s="29"/>
      <c r="D2" s="22">
        <v>762000</v>
      </c>
    </row>
    <row r="3" spans="1:7" x14ac:dyDescent="0.2">
      <c r="A3" s="29">
        <v>3</v>
      </c>
      <c r="B3" s="30">
        <v>45992</v>
      </c>
      <c r="C3" s="29"/>
      <c r="D3" s="22">
        <v>762000</v>
      </c>
    </row>
    <row r="4" spans="1:7" x14ac:dyDescent="0.2">
      <c r="A4" s="29">
        <v>4</v>
      </c>
      <c r="B4" s="30">
        <v>46023</v>
      </c>
      <c r="C4" s="29"/>
      <c r="D4" s="22">
        <v>762000</v>
      </c>
    </row>
    <row r="5" spans="1:7" x14ac:dyDescent="0.2">
      <c r="A5" s="29">
        <v>5</v>
      </c>
      <c r="B5" s="30">
        <v>46054</v>
      </c>
      <c r="C5" s="29"/>
      <c r="D5" s="22">
        <v>762000</v>
      </c>
    </row>
    <row r="6" spans="1:7" x14ac:dyDescent="0.2">
      <c r="A6" s="29">
        <v>6</v>
      </c>
      <c r="B6" s="30">
        <v>46082</v>
      </c>
      <c r="C6" s="29"/>
      <c r="D6" s="22">
        <v>762000</v>
      </c>
    </row>
    <row r="7" spans="1:7" x14ac:dyDescent="0.2">
      <c r="A7" s="29">
        <v>7</v>
      </c>
      <c r="B7" s="30">
        <v>46113</v>
      </c>
      <c r="C7" s="29"/>
      <c r="D7" s="22">
        <v>762000</v>
      </c>
    </row>
    <row r="8" spans="1:7" x14ac:dyDescent="0.2">
      <c r="A8" s="29">
        <v>8</v>
      </c>
      <c r="B8" s="30">
        <v>46143</v>
      </c>
      <c r="C8" s="29"/>
      <c r="D8" s="22">
        <v>762000</v>
      </c>
    </row>
    <row r="9" spans="1:7" x14ac:dyDescent="0.2">
      <c r="A9" s="29">
        <v>9</v>
      </c>
      <c r="B9" s="30">
        <v>46174</v>
      </c>
      <c r="C9" s="29"/>
      <c r="D9" s="22">
        <v>762000</v>
      </c>
    </row>
    <row r="10" spans="1:7" x14ac:dyDescent="0.2">
      <c r="A10" s="29">
        <v>10</v>
      </c>
      <c r="B10" s="30">
        <v>46204</v>
      </c>
      <c r="C10" s="29">
        <v>1</v>
      </c>
      <c r="D10" s="22">
        <v>762000</v>
      </c>
      <c r="F10" s="13"/>
    </row>
    <row r="11" spans="1:7" x14ac:dyDescent="0.2">
      <c r="A11">
        <v>11</v>
      </c>
      <c r="B11" s="15">
        <v>46235</v>
      </c>
      <c r="C11">
        <v>2</v>
      </c>
      <c r="D11" s="5">
        <v>762000</v>
      </c>
      <c r="E11" t="s">
        <v>44</v>
      </c>
      <c r="F11" s="13">
        <f t="shared" ref="F11:F18" si="0">SUM(D11:D60)</f>
        <v>38100000</v>
      </c>
    </row>
    <row r="12" spans="1:7" x14ac:dyDescent="0.2">
      <c r="A12">
        <v>12</v>
      </c>
      <c r="B12" s="15">
        <v>46266</v>
      </c>
      <c r="C12">
        <v>3</v>
      </c>
      <c r="D12" s="5">
        <v>762000</v>
      </c>
      <c r="F12" s="13">
        <f t="shared" si="0"/>
        <v>37338000</v>
      </c>
      <c r="G12" s="16"/>
    </row>
    <row r="13" spans="1:7" x14ac:dyDescent="0.2">
      <c r="A13">
        <v>13</v>
      </c>
      <c r="B13" s="15">
        <v>46296</v>
      </c>
      <c r="C13">
        <v>4</v>
      </c>
      <c r="D13" s="5">
        <v>762000</v>
      </c>
      <c r="F13" s="13">
        <f t="shared" si="0"/>
        <v>36576000</v>
      </c>
    </row>
    <row r="14" spans="1:7" x14ac:dyDescent="0.2">
      <c r="A14">
        <v>14</v>
      </c>
      <c r="B14" s="15">
        <v>46327</v>
      </c>
      <c r="C14">
        <v>5</v>
      </c>
      <c r="D14" s="5">
        <v>762000</v>
      </c>
      <c r="F14" s="13">
        <f t="shared" si="0"/>
        <v>35814000</v>
      </c>
    </row>
    <row r="15" spans="1:7" x14ac:dyDescent="0.2">
      <c r="A15">
        <v>15</v>
      </c>
      <c r="B15" s="15">
        <v>46357</v>
      </c>
      <c r="C15">
        <v>6</v>
      </c>
      <c r="D15" s="5">
        <v>762000</v>
      </c>
      <c r="F15" s="13">
        <f t="shared" si="0"/>
        <v>35052000</v>
      </c>
    </row>
    <row r="16" spans="1:7" x14ac:dyDescent="0.2">
      <c r="A16">
        <v>16</v>
      </c>
      <c r="B16" s="15">
        <v>46388</v>
      </c>
      <c r="C16">
        <v>7</v>
      </c>
      <c r="D16" s="5">
        <v>762000</v>
      </c>
      <c r="F16" s="45">
        <f t="shared" si="0"/>
        <v>34290000</v>
      </c>
      <c r="G16" s="2"/>
    </row>
    <row r="17" spans="1:7" x14ac:dyDescent="0.2">
      <c r="A17">
        <v>17</v>
      </c>
      <c r="B17" s="15">
        <v>46419</v>
      </c>
      <c r="C17">
        <v>8</v>
      </c>
      <c r="D17" s="5">
        <v>762000</v>
      </c>
      <c r="F17" s="13">
        <f t="shared" si="0"/>
        <v>33528000</v>
      </c>
    </row>
    <row r="18" spans="1:7" x14ac:dyDescent="0.2">
      <c r="A18">
        <v>18</v>
      </c>
      <c r="B18" s="15">
        <v>46447</v>
      </c>
      <c r="C18">
        <v>9</v>
      </c>
      <c r="D18" s="5">
        <v>762000</v>
      </c>
      <c r="F18" s="13">
        <f t="shared" si="0"/>
        <v>32766000</v>
      </c>
    </row>
    <row r="19" spans="1:7" x14ac:dyDescent="0.2">
      <c r="A19">
        <v>19</v>
      </c>
      <c r="B19" s="15">
        <v>46478</v>
      </c>
      <c r="C19">
        <v>10</v>
      </c>
      <c r="D19" s="5">
        <v>762000</v>
      </c>
      <c r="F19" s="13">
        <f t="shared" ref="F19" si="1">SUM(D19:D68)</f>
        <v>32004000</v>
      </c>
    </row>
    <row r="20" spans="1:7" x14ac:dyDescent="0.2">
      <c r="A20">
        <v>20</v>
      </c>
      <c r="B20" s="15">
        <v>46508</v>
      </c>
      <c r="C20">
        <v>11</v>
      </c>
      <c r="D20" s="5">
        <v>762000</v>
      </c>
      <c r="F20" s="13">
        <f>SUM(D20:D69)-10000000</f>
        <v>21242000</v>
      </c>
      <c r="G20" s="18" t="s">
        <v>72</v>
      </c>
    </row>
    <row r="21" spans="1:7" x14ac:dyDescent="0.2">
      <c r="A21">
        <v>21</v>
      </c>
      <c r="B21" s="15">
        <v>46539</v>
      </c>
      <c r="C21">
        <v>12</v>
      </c>
      <c r="D21" s="5">
        <v>762000</v>
      </c>
      <c r="F21" s="13">
        <f>SUM(D21:D70)-10000000</f>
        <v>20480000</v>
      </c>
    </row>
    <row r="22" spans="1:7" x14ac:dyDescent="0.2">
      <c r="A22">
        <v>22</v>
      </c>
      <c r="B22" s="15">
        <v>46569</v>
      </c>
      <c r="C22">
        <v>13</v>
      </c>
      <c r="D22" s="5">
        <v>762000</v>
      </c>
      <c r="F22" s="13">
        <f t="shared" ref="F22:F23" si="2">SUM(D22:D71)-10000000</f>
        <v>19718000</v>
      </c>
    </row>
    <row r="23" spans="1:7" x14ac:dyDescent="0.2">
      <c r="A23">
        <v>23</v>
      </c>
      <c r="B23" s="15">
        <v>46600</v>
      </c>
      <c r="C23">
        <v>14</v>
      </c>
      <c r="D23" s="5">
        <v>762000</v>
      </c>
      <c r="F23" s="13">
        <f t="shared" si="2"/>
        <v>18956000</v>
      </c>
    </row>
    <row r="24" spans="1:7" x14ac:dyDescent="0.2">
      <c r="A24">
        <v>24</v>
      </c>
      <c r="B24" s="15">
        <v>46631</v>
      </c>
      <c r="C24">
        <v>15</v>
      </c>
      <c r="D24" s="5">
        <v>762000</v>
      </c>
      <c r="F24" s="13">
        <f>SUM(D24:D73)-10000000-10000000</f>
        <v>8194000</v>
      </c>
      <c r="G24" s="18" t="s">
        <v>73</v>
      </c>
    </row>
    <row r="25" spans="1:7" x14ac:dyDescent="0.2">
      <c r="A25">
        <v>25</v>
      </c>
      <c r="B25" s="15">
        <v>46661</v>
      </c>
      <c r="C25">
        <v>16</v>
      </c>
      <c r="D25" s="5">
        <v>762000</v>
      </c>
      <c r="F25" s="13">
        <f t="shared" ref="F25:F34" si="3">SUM(D25:D74)-10000000-10000000</f>
        <v>7432000</v>
      </c>
    </row>
    <row r="26" spans="1:7" x14ac:dyDescent="0.2">
      <c r="A26">
        <v>26</v>
      </c>
      <c r="B26" s="15">
        <v>46692</v>
      </c>
      <c r="C26">
        <v>17</v>
      </c>
      <c r="D26" s="5">
        <v>762000</v>
      </c>
      <c r="F26" s="13">
        <f t="shared" si="3"/>
        <v>6670000</v>
      </c>
    </row>
    <row r="27" spans="1:7" x14ac:dyDescent="0.2">
      <c r="A27" s="32">
        <v>27</v>
      </c>
      <c r="B27" s="44">
        <v>46722</v>
      </c>
      <c r="C27" s="32">
        <v>18</v>
      </c>
      <c r="D27" s="24">
        <v>762000</v>
      </c>
      <c r="E27" s="32"/>
      <c r="F27" s="34">
        <f t="shared" si="3"/>
        <v>5908000</v>
      </c>
      <c r="G27" s="33" t="s">
        <v>71</v>
      </c>
    </row>
    <row r="28" spans="1:7" x14ac:dyDescent="0.2">
      <c r="A28">
        <v>28</v>
      </c>
      <c r="B28" s="15">
        <v>46753</v>
      </c>
      <c r="C28">
        <v>19</v>
      </c>
      <c r="D28" s="5">
        <v>762000</v>
      </c>
      <c r="F28" s="13">
        <f t="shared" si="3"/>
        <v>5146000</v>
      </c>
    </row>
    <row r="29" spans="1:7" x14ac:dyDescent="0.2">
      <c r="A29">
        <v>29</v>
      </c>
      <c r="B29" s="15">
        <v>46784</v>
      </c>
      <c r="C29">
        <v>20</v>
      </c>
      <c r="D29" s="5">
        <v>762000</v>
      </c>
      <c r="F29" s="13">
        <f t="shared" si="3"/>
        <v>4384000</v>
      </c>
    </row>
    <row r="30" spans="1:7" x14ac:dyDescent="0.2">
      <c r="A30">
        <v>30</v>
      </c>
      <c r="B30" s="15">
        <v>46813</v>
      </c>
      <c r="C30">
        <v>21</v>
      </c>
      <c r="D30" s="5">
        <v>762000</v>
      </c>
      <c r="F30" s="13">
        <f t="shared" si="3"/>
        <v>3622000</v>
      </c>
    </row>
    <row r="31" spans="1:7" x14ac:dyDescent="0.2">
      <c r="A31">
        <v>31</v>
      </c>
      <c r="B31" s="15">
        <v>46844</v>
      </c>
      <c r="C31">
        <v>22</v>
      </c>
      <c r="D31" s="5">
        <v>762000</v>
      </c>
      <c r="F31" s="13">
        <f t="shared" si="3"/>
        <v>2860000</v>
      </c>
    </row>
    <row r="32" spans="1:7" x14ac:dyDescent="0.2">
      <c r="A32">
        <v>32</v>
      </c>
      <c r="B32" s="15">
        <v>46874</v>
      </c>
      <c r="C32">
        <v>23</v>
      </c>
      <c r="D32" s="5">
        <v>762000</v>
      </c>
      <c r="F32" s="13">
        <f t="shared" si="3"/>
        <v>2098000</v>
      </c>
    </row>
    <row r="33" spans="1:6" x14ac:dyDescent="0.2">
      <c r="A33">
        <v>33</v>
      </c>
      <c r="B33" s="15">
        <v>46905</v>
      </c>
      <c r="C33">
        <v>24</v>
      </c>
      <c r="D33" s="5">
        <v>762000</v>
      </c>
      <c r="F33" s="13">
        <f t="shared" si="3"/>
        <v>1336000</v>
      </c>
    </row>
    <row r="34" spans="1:6" x14ac:dyDescent="0.2">
      <c r="A34">
        <v>34</v>
      </c>
      <c r="B34" s="15">
        <v>46935</v>
      </c>
      <c r="C34">
        <v>25</v>
      </c>
      <c r="D34" s="5">
        <v>762000</v>
      </c>
      <c r="F34" s="13">
        <f t="shared" si="3"/>
        <v>574000</v>
      </c>
    </row>
    <row r="35" spans="1:6" x14ac:dyDescent="0.2">
      <c r="A35">
        <v>35</v>
      </c>
      <c r="B35" s="15">
        <v>46966</v>
      </c>
      <c r="C35">
        <v>26</v>
      </c>
      <c r="D35" s="5">
        <v>762000</v>
      </c>
      <c r="F35" s="13"/>
    </row>
    <row r="36" spans="1:6" x14ac:dyDescent="0.2">
      <c r="A36">
        <v>36</v>
      </c>
      <c r="B36" s="15">
        <v>46997</v>
      </c>
      <c r="C36">
        <v>27</v>
      </c>
      <c r="D36" s="5">
        <v>762000</v>
      </c>
      <c r="F36" s="13"/>
    </row>
    <row r="37" spans="1:6" x14ac:dyDescent="0.2">
      <c r="A37">
        <v>37</v>
      </c>
      <c r="B37" s="15">
        <v>47027</v>
      </c>
      <c r="C37">
        <v>28</v>
      </c>
      <c r="D37" s="5">
        <v>762000</v>
      </c>
      <c r="F37" s="13"/>
    </row>
    <row r="38" spans="1:6" x14ac:dyDescent="0.2">
      <c r="A38">
        <v>38</v>
      </c>
      <c r="B38" s="15">
        <v>47058</v>
      </c>
      <c r="C38">
        <v>29</v>
      </c>
      <c r="D38" s="5">
        <v>762000</v>
      </c>
      <c r="F38" s="13"/>
    </row>
    <row r="39" spans="1:6" x14ac:dyDescent="0.2">
      <c r="A39">
        <v>39</v>
      </c>
      <c r="B39" s="15">
        <v>47088</v>
      </c>
      <c r="C39">
        <v>30</v>
      </c>
      <c r="D39" s="5">
        <v>762000</v>
      </c>
      <c r="F39" s="13"/>
    </row>
    <row r="40" spans="1:6" x14ac:dyDescent="0.2">
      <c r="A40">
        <v>40</v>
      </c>
      <c r="B40" s="15">
        <v>47119</v>
      </c>
      <c r="C40">
        <v>31</v>
      </c>
      <c r="D40" s="5">
        <v>762000</v>
      </c>
      <c r="F40" s="13"/>
    </row>
    <row r="41" spans="1:6" x14ac:dyDescent="0.2">
      <c r="A41">
        <v>41</v>
      </c>
      <c r="B41" s="15">
        <v>47150</v>
      </c>
      <c r="C41">
        <v>32</v>
      </c>
      <c r="D41" s="5">
        <v>762000</v>
      </c>
      <c r="F41" s="13"/>
    </row>
    <row r="42" spans="1:6" x14ac:dyDescent="0.2">
      <c r="A42">
        <v>42</v>
      </c>
      <c r="B42" s="15">
        <v>47178</v>
      </c>
      <c r="C42">
        <v>33</v>
      </c>
      <c r="D42" s="5">
        <v>762000</v>
      </c>
      <c r="F42" s="13"/>
    </row>
    <row r="43" spans="1:6" x14ac:dyDescent="0.2">
      <c r="A43">
        <v>43</v>
      </c>
      <c r="B43" s="15">
        <v>47209</v>
      </c>
      <c r="C43">
        <v>34</v>
      </c>
      <c r="D43" s="5">
        <v>762000</v>
      </c>
      <c r="F43" s="13"/>
    </row>
    <row r="44" spans="1:6" x14ac:dyDescent="0.2">
      <c r="A44">
        <v>44</v>
      </c>
      <c r="B44" s="15">
        <v>47239</v>
      </c>
      <c r="C44">
        <v>35</v>
      </c>
      <c r="D44" s="5">
        <v>762000</v>
      </c>
      <c r="F44" s="13"/>
    </row>
    <row r="45" spans="1:6" x14ac:dyDescent="0.2">
      <c r="A45">
        <v>45</v>
      </c>
      <c r="B45" s="15">
        <v>47270</v>
      </c>
      <c r="C45">
        <v>36</v>
      </c>
      <c r="D45" s="5">
        <v>762000</v>
      </c>
      <c r="F45" s="13"/>
    </row>
    <row r="46" spans="1:6" x14ac:dyDescent="0.2">
      <c r="A46">
        <v>46</v>
      </c>
      <c r="B46" s="15">
        <v>47300</v>
      </c>
      <c r="C46">
        <v>37</v>
      </c>
      <c r="D46" s="5">
        <v>762000</v>
      </c>
      <c r="F46" s="13"/>
    </row>
    <row r="47" spans="1:6" x14ac:dyDescent="0.2">
      <c r="A47">
        <v>47</v>
      </c>
      <c r="B47" s="15">
        <v>47331</v>
      </c>
      <c r="C47">
        <v>38</v>
      </c>
      <c r="D47" s="5">
        <v>762000</v>
      </c>
      <c r="F47" s="13"/>
    </row>
    <row r="48" spans="1:6" x14ac:dyDescent="0.2">
      <c r="A48">
        <v>48</v>
      </c>
      <c r="B48" s="15">
        <v>47362</v>
      </c>
      <c r="C48">
        <v>39</v>
      </c>
      <c r="D48" s="5">
        <v>762000</v>
      </c>
      <c r="F48" s="13"/>
    </row>
    <row r="49" spans="1:6" x14ac:dyDescent="0.2">
      <c r="A49">
        <v>49</v>
      </c>
      <c r="B49" s="15">
        <v>47392</v>
      </c>
      <c r="C49">
        <v>40</v>
      </c>
      <c r="D49" s="5">
        <v>762000</v>
      </c>
      <c r="F49" s="13"/>
    </row>
    <row r="50" spans="1:6" x14ac:dyDescent="0.2">
      <c r="A50">
        <v>50</v>
      </c>
      <c r="B50" s="15">
        <v>47423</v>
      </c>
      <c r="C50">
        <v>41</v>
      </c>
      <c r="D50" s="5">
        <v>762000</v>
      </c>
      <c r="F50" s="13"/>
    </row>
    <row r="51" spans="1:6" x14ac:dyDescent="0.2">
      <c r="A51">
        <v>51</v>
      </c>
      <c r="B51" s="15">
        <v>47453</v>
      </c>
      <c r="C51">
        <v>42</v>
      </c>
      <c r="D51" s="5">
        <v>762000</v>
      </c>
      <c r="F51" s="13"/>
    </row>
    <row r="52" spans="1:6" x14ac:dyDescent="0.2">
      <c r="A52">
        <v>52</v>
      </c>
      <c r="B52" s="15">
        <v>47484</v>
      </c>
      <c r="C52">
        <v>43</v>
      </c>
      <c r="D52" s="5">
        <v>762000</v>
      </c>
      <c r="F52" s="13"/>
    </row>
    <row r="53" spans="1:6" x14ac:dyDescent="0.2">
      <c r="A53">
        <v>53</v>
      </c>
      <c r="B53" s="15">
        <v>47515</v>
      </c>
      <c r="C53">
        <v>44</v>
      </c>
      <c r="D53" s="5">
        <v>762000</v>
      </c>
      <c r="F53" s="13"/>
    </row>
    <row r="54" spans="1:6" x14ac:dyDescent="0.2">
      <c r="A54">
        <v>54</v>
      </c>
      <c r="B54" s="15">
        <v>47543</v>
      </c>
      <c r="C54">
        <v>45</v>
      </c>
      <c r="D54" s="5">
        <v>762000</v>
      </c>
      <c r="F54" s="13"/>
    </row>
    <row r="55" spans="1:6" x14ac:dyDescent="0.2">
      <c r="A55">
        <v>55</v>
      </c>
      <c r="B55" s="15">
        <v>47574</v>
      </c>
      <c r="C55">
        <v>46</v>
      </c>
      <c r="D55" s="5">
        <v>762000</v>
      </c>
      <c r="F55" s="13"/>
    </row>
    <row r="56" spans="1:6" x14ac:dyDescent="0.2">
      <c r="A56">
        <v>56</v>
      </c>
      <c r="B56" s="15">
        <v>47604</v>
      </c>
      <c r="C56">
        <v>47</v>
      </c>
      <c r="D56" s="5">
        <v>762000</v>
      </c>
      <c r="F56" s="13"/>
    </row>
    <row r="57" spans="1:6" x14ac:dyDescent="0.2">
      <c r="A57">
        <v>57</v>
      </c>
      <c r="B57" s="15">
        <v>47635</v>
      </c>
      <c r="C57">
        <v>48</v>
      </c>
      <c r="D57" s="5">
        <v>762000</v>
      </c>
      <c r="F57" s="13"/>
    </row>
    <row r="58" spans="1:6" x14ac:dyDescent="0.2">
      <c r="A58">
        <v>58</v>
      </c>
      <c r="B58" s="15">
        <v>47665</v>
      </c>
      <c r="C58">
        <v>49</v>
      </c>
      <c r="D58" s="5">
        <v>762000</v>
      </c>
      <c r="F58" s="13"/>
    </row>
    <row r="59" spans="1:6" x14ac:dyDescent="0.2">
      <c r="A59">
        <v>59</v>
      </c>
      <c r="B59" s="15">
        <v>47696</v>
      </c>
      <c r="C59">
        <v>50</v>
      </c>
      <c r="D59" s="5">
        <v>762000</v>
      </c>
      <c r="F59" s="13"/>
    </row>
    <row r="60" spans="1:6" x14ac:dyDescent="0.2">
      <c r="A60">
        <v>60</v>
      </c>
      <c r="B60" s="15">
        <v>47727</v>
      </c>
      <c r="C60">
        <v>51</v>
      </c>
      <c r="D60" s="5">
        <v>762000</v>
      </c>
      <c r="F60" s="13"/>
    </row>
    <row r="61" spans="1:6" x14ac:dyDescent="0.2">
      <c r="B61" s="15"/>
    </row>
    <row r="62" spans="1:6" x14ac:dyDescent="0.2">
      <c r="B62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7EDB4-CEC3-4710-9315-E33EDA264A73}">
  <sheetPr>
    <tabColor rgb="FF92D050"/>
  </sheetPr>
  <dimension ref="A1:G30"/>
  <sheetViews>
    <sheetView topLeftCell="A10" workbookViewId="0">
      <selection activeCell="A18" sqref="A18:G18"/>
    </sheetView>
  </sheetViews>
  <sheetFormatPr baseColWidth="10" defaultColWidth="11.42578125" defaultRowHeight="12.75" x14ac:dyDescent="0.2"/>
  <cols>
    <col min="3" max="3" width="18.5703125" customWidth="1"/>
    <col min="4" max="4" width="13" bestFit="1" customWidth="1"/>
  </cols>
  <sheetData>
    <row r="1" spans="1:6" x14ac:dyDescent="0.2">
      <c r="A1" t="s">
        <v>45</v>
      </c>
      <c r="B1">
        <v>24</v>
      </c>
      <c r="C1">
        <v>228791</v>
      </c>
      <c r="D1" s="5">
        <f>+B1*C1</f>
        <v>5490984</v>
      </c>
    </row>
    <row r="2" spans="1:6" x14ac:dyDescent="0.2">
      <c r="A2" t="s">
        <v>46</v>
      </c>
      <c r="D2" s="5">
        <v>5009169</v>
      </c>
    </row>
    <row r="3" spans="1:6" x14ac:dyDescent="0.2">
      <c r="D3" s="13">
        <f>+D1-D2</f>
        <v>481815</v>
      </c>
      <c r="E3" t="s">
        <v>47</v>
      </c>
    </row>
    <row r="7" spans="1:6" ht="12" customHeight="1" x14ac:dyDescent="0.2">
      <c r="A7">
        <v>1</v>
      </c>
      <c r="B7" s="5">
        <v>229000</v>
      </c>
      <c r="C7" t="s">
        <v>48</v>
      </c>
      <c r="E7" s="5"/>
      <c r="F7" s="17"/>
    </row>
    <row r="8" spans="1:6" x14ac:dyDescent="0.2">
      <c r="A8">
        <v>2</v>
      </c>
      <c r="B8" s="5">
        <v>229000</v>
      </c>
      <c r="C8" t="s">
        <v>48</v>
      </c>
      <c r="E8" s="5"/>
      <c r="F8" s="17"/>
    </row>
    <row r="9" spans="1:6" x14ac:dyDescent="0.2">
      <c r="A9">
        <v>3</v>
      </c>
      <c r="B9" s="5">
        <v>229000</v>
      </c>
      <c r="C9" t="s">
        <v>48</v>
      </c>
    </row>
    <row r="10" spans="1:6" x14ac:dyDescent="0.2">
      <c r="A10">
        <v>4</v>
      </c>
      <c r="B10" s="5">
        <v>229000</v>
      </c>
      <c r="C10" t="s">
        <v>48</v>
      </c>
    </row>
    <row r="11" spans="1:6" x14ac:dyDescent="0.2">
      <c r="A11">
        <v>5</v>
      </c>
      <c r="B11" s="5">
        <v>229000</v>
      </c>
      <c r="C11" t="s">
        <v>48</v>
      </c>
    </row>
    <row r="12" spans="1:6" x14ac:dyDescent="0.2">
      <c r="A12">
        <v>6</v>
      </c>
      <c r="B12" s="5">
        <v>229000</v>
      </c>
      <c r="C12" s="18" t="s">
        <v>48</v>
      </c>
      <c r="D12" s="5"/>
      <c r="E12" t="s">
        <v>49</v>
      </c>
      <c r="F12" s="13"/>
    </row>
    <row r="13" spans="1:6" x14ac:dyDescent="0.2">
      <c r="A13">
        <v>7</v>
      </c>
      <c r="B13" s="5">
        <v>229000</v>
      </c>
      <c r="C13" s="23" t="s">
        <v>50</v>
      </c>
      <c r="D13" s="5">
        <f>SUM(B7:B13)</f>
        <v>1603000</v>
      </c>
      <c r="E13" s="5">
        <v>300000</v>
      </c>
      <c r="F13" s="13"/>
    </row>
    <row r="14" spans="1:6" x14ac:dyDescent="0.2">
      <c r="A14">
        <v>8</v>
      </c>
      <c r="B14" s="5">
        <v>229000</v>
      </c>
      <c r="C14" s="17">
        <v>46295</v>
      </c>
      <c r="D14" s="13">
        <f t="shared" ref="D14:D30" si="0">+D13+B14-E13</f>
        <v>1532000</v>
      </c>
      <c r="E14" s="5">
        <v>300000</v>
      </c>
      <c r="F14" s="13"/>
    </row>
    <row r="15" spans="1:6" x14ac:dyDescent="0.2">
      <c r="A15">
        <v>9</v>
      </c>
      <c r="B15" s="5">
        <v>229000</v>
      </c>
      <c r="C15" s="17">
        <v>46325</v>
      </c>
      <c r="D15" s="13">
        <f t="shared" si="0"/>
        <v>1461000</v>
      </c>
      <c r="E15" s="5">
        <v>300000</v>
      </c>
      <c r="F15" s="13"/>
    </row>
    <row r="16" spans="1:6" x14ac:dyDescent="0.2">
      <c r="A16">
        <v>10</v>
      </c>
      <c r="B16" s="5">
        <v>229000</v>
      </c>
      <c r="C16" s="17">
        <v>46356</v>
      </c>
      <c r="D16" s="13">
        <f t="shared" si="0"/>
        <v>1390000</v>
      </c>
      <c r="E16" s="5">
        <v>300000</v>
      </c>
      <c r="F16" s="13"/>
    </row>
    <row r="17" spans="1:7" x14ac:dyDescent="0.2">
      <c r="A17">
        <v>11</v>
      </c>
      <c r="B17" s="5">
        <v>229000</v>
      </c>
      <c r="C17" s="17">
        <v>46386</v>
      </c>
      <c r="D17" s="13">
        <f t="shared" si="0"/>
        <v>1319000</v>
      </c>
      <c r="E17" s="5">
        <v>300000</v>
      </c>
      <c r="F17" s="13"/>
    </row>
    <row r="18" spans="1:7" x14ac:dyDescent="0.2">
      <c r="A18" s="32">
        <v>12</v>
      </c>
      <c r="B18" s="24">
        <v>229000</v>
      </c>
      <c r="C18" s="38">
        <v>46417</v>
      </c>
      <c r="D18" s="34">
        <f t="shared" si="0"/>
        <v>1248000</v>
      </c>
      <c r="E18" s="24">
        <v>300000</v>
      </c>
      <c r="F18" s="34">
        <v>2027</v>
      </c>
      <c r="G18" s="32"/>
    </row>
    <row r="19" spans="1:7" x14ac:dyDescent="0.2">
      <c r="A19">
        <v>13</v>
      </c>
      <c r="B19" s="5">
        <v>229000</v>
      </c>
      <c r="C19" s="17">
        <v>46446</v>
      </c>
      <c r="D19" s="13">
        <f t="shared" si="0"/>
        <v>1177000</v>
      </c>
      <c r="E19" s="5">
        <v>300000</v>
      </c>
      <c r="F19" s="13"/>
    </row>
    <row r="20" spans="1:7" x14ac:dyDescent="0.2">
      <c r="A20">
        <v>14</v>
      </c>
      <c r="B20" s="5">
        <v>229000</v>
      </c>
      <c r="C20" s="17">
        <v>46476</v>
      </c>
      <c r="D20" s="13">
        <f t="shared" si="0"/>
        <v>1106000</v>
      </c>
      <c r="E20" s="5">
        <v>300000</v>
      </c>
      <c r="F20" s="13"/>
    </row>
    <row r="21" spans="1:7" x14ac:dyDescent="0.2">
      <c r="A21">
        <v>15</v>
      </c>
      <c r="B21" s="5">
        <v>229000</v>
      </c>
      <c r="C21" s="17">
        <v>46507</v>
      </c>
      <c r="D21" s="13">
        <f t="shared" si="0"/>
        <v>1035000</v>
      </c>
      <c r="E21" s="5">
        <v>300000</v>
      </c>
      <c r="F21" s="13"/>
    </row>
    <row r="22" spans="1:7" x14ac:dyDescent="0.2">
      <c r="A22">
        <v>16</v>
      </c>
      <c r="B22" s="5">
        <v>229000</v>
      </c>
      <c r="C22" s="17">
        <v>46537</v>
      </c>
      <c r="D22" s="13">
        <f t="shared" si="0"/>
        <v>964000</v>
      </c>
      <c r="E22" s="5">
        <v>300000</v>
      </c>
      <c r="F22" s="13"/>
    </row>
    <row r="23" spans="1:7" x14ac:dyDescent="0.2">
      <c r="A23">
        <v>17</v>
      </c>
      <c r="B23" s="5">
        <v>229000</v>
      </c>
      <c r="C23" s="17">
        <v>46568</v>
      </c>
      <c r="D23" s="13">
        <f t="shared" si="0"/>
        <v>893000</v>
      </c>
      <c r="E23" s="5">
        <v>300000</v>
      </c>
      <c r="F23" s="13"/>
    </row>
    <row r="24" spans="1:7" x14ac:dyDescent="0.2">
      <c r="A24">
        <v>18</v>
      </c>
      <c r="B24" s="5">
        <v>229000</v>
      </c>
      <c r="C24" s="17">
        <v>46598</v>
      </c>
      <c r="D24" s="13">
        <f t="shared" si="0"/>
        <v>822000</v>
      </c>
      <c r="E24" s="5">
        <v>300000</v>
      </c>
      <c r="F24" s="13"/>
    </row>
    <row r="25" spans="1:7" x14ac:dyDescent="0.2">
      <c r="A25">
        <v>19</v>
      </c>
      <c r="B25" s="5">
        <v>229000</v>
      </c>
      <c r="C25" s="17">
        <v>46629</v>
      </c>
      <c r="D25" s="13">
        <f t="shared" si="0"/>
        <v>751000</v>
      </c>
      <c r="E25" s="5">
        <v>300000</v>
      </c>
      <c r="F25" s="13"/>
    </row>
    <row r="26" spans="1:7" x14ac:dyDescent="0.2">
      <c r="A26">
        <v>20</v>
      </c>
      <c r="B26" s="5">
        <v>229000</v>
      </c>
      <c r="C26" s="17">
        <v>46660</v>
      </c>
      <c r="D26" s="13">
        <f t="shared" si="0"/>
        <v>680000</v>
      </c>
      <c r="E26" s="5">
        <v>300000</v>
      </c>
      <c r="F26" s="13"/>
    </row>
    <row r="27" spans="1:7" x14ac:dyDescent="0.2">
      <c r="A27">
        <v>21</v>
      </c>
      <c r="B27" s="14">
        <v>229000</v>
      </c>
      <c r="C27" s="17">
        <v>46690</v>
      </c>
      <c r="D27" s="13">
        <f>+D26+B27-E26</f>
        <v>609000</v>
      </c>
      <c r="E27" s="14">
        <v>300000</v>
      </c>
      <c r="F27" s="13"/>
    </row>
    <row r="28" spans="1:7" x14ac:dyDescent="0.2">
      <c r="A28">
        <v>22</v>
      </c>
      <c r="B28" s="5">
        <v>229000</v>
      </c>
      <c r="C28" s="17">
        <v>46721</v>
      </c>
      <c r="D28" s="13">
        <f t="shared" si="0"/>
        <v>538000</v>
      </c>
      <c r="E28" s="5">
        <v>300000</v>
      </c>
      <c r="F28" s="13"/>
    </row>
    <row r="29" spans="1:7" x14ac:dyDescent="0.2">
      <c r="A29">
        <v>23</v>
      </c>
      <c r="B29" s="5">
        <v>229000</v>
      </c>
      <c r="C29" s="17">
        <v>46751</v>
      </c>
      <c r="D29" s="13">
        <f t="shared" si="0"/>
        <v>467000</v>
      </c>
      <c r="E29" s="5">
        <v>300000</v>
      </c>
      <c r="F29" s="13"/>
    </row>
    <row r="30" spans="1:7" x14ac:dyDescent="0.2">
      <c r="A30">
        <v>24</v>
      </c>
      <c r="B30" s="5">
        <v>229000</v>
      </c>
      <c r="C30" s="17">
        <v>46782</v>
      </c>
      <c r="D30" s="13">
        <f t="shared" si="0"/>
        <v>396000</v>
      </c>
      <c r="E30" s="5">
        <v>300000</v>
      </c>
      <c r="F30" s="13">
        <v>2028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7A21-6932-48D2-9C6B-A3BADC8DB447}">
  <sheetPr>
    <tabColor rgb="FF92D050"/>
  </sheetPr>
  <dimension ref="A1:D13"/>
  <sheetViews>
    <sheetView workbookViewId="0">
      <selection activeCell="C12" sqref="C12"/>
    </sheetView>
  </sheetViews>
  <sheetFormatPr baseColWidth="10" defaultColWidth="10.7109375" defaultRowHeight="12.75" x14ac:dyDescent="0.2"/>
  <cols>
    <col min="1" max="1" width="11.42578125" style="5"/>
  </cols>
  <sheetData>
    <row r="1" spans="1:4" x14ac:dyDescent="0.2">
      <c r="A1" s="5">
        <v>44800</v>
      </c>
      <c r="B1">
        <v>12</v>
      </c>
      <c r="C1" s="15">
        <v>47696</v>
      </c>
      <c r="D1" s="13">
        <f>+A1+A2</f>
        <v>94600</v>
      </c>
    </row>
    <row r="2" spans="1:4" x14ac:dyDescent="0.2">
      <c r="A2" s="5">
        <v>49800</v>
      </c>
      <c r="B2">
        <v>1</v>
      </c>
      <c r="C2" s="15">
        <v>47696</v>
      </c>
    </row>
    <row r="3" spans="1:4" x14ac:dyDescent="0.2">
      <c r="A3" s="5">
        <v>48900</v>
      </c>
      <c r="B3">
        <v>2</v>
      </c>
      <c r="C3" s="15">
        <v>42248</v>
      </c>
      <c r="D3" s="13">
        <f>+A3+A4</f>
        <v>97800</v>
      </c>
    </row>
    <row r="4" spans="1:4" x14ac:dyDescent="0.2">
      <c r="A4" s="5">
        <v>48900</v>
      </c>
      <c r="B4">
        <v>3</v>
      </c>
      <c r="C4" s="15">
        <v>42248</v>
      </c>
    </row>
    <row r="5" spans="1:4" x14ac:dyDescent="0.2">
      <c r="A5" s="5">
        <v>48900</v>
      </c>
      <c r="B5">
        <v>4</v>
      </c>
      <c r="C5" s="15">
        <v>47727</v>
      </c>
      <c r="D5" s="13">
        <f>+A5+A6</f>
        <v>97800</v>
      </c>
    </row>
    <row r="6" spans="1:4" x14ac:dyDescent="0.2">
      <c r="A6" s="5">
        <v>48900</v>
      </c>
      <c r="B6">
        <v>5</v>
      </c>
      <c r="C6" s="15">
        <v>47727</v>
      </c>
    </row>
    <row r="7" spans="1:4" x14ac:dyDescent="0.2">
      <c r="A7" s="5">
        <v>48900</v>
      </c>
      <c r="B7">
        <v>6</v>
      </c>
      <c r="C7" s="15">
        <v>42278</v>
      </c>
      <c r="D7" s="13">
        <f>+A7+A8</f>
        <v>97800</v>
      </c>
    </row>
    <row r="8" spans="1:4" x14ac:dyDescent="0.2">
      <c r="A8" s="5">
        <v>48900</v>
      </c>
      <c r="B8">
        <v>7</v>
      </c>
      <c r="C8" s="15">
        <v>42278</v>
      </c>
    </row>
    <row r="9" spans="1:4" x14ac:dyDescent="0.2">
      <c r="A9" s="5">
        <v>48900</v>
      </c>
      <c r="B9">
        <v>8</v>
      </c>
      <c r="C9" s="15">
        <v>47757</v>
      </c>
      <c r="D9" s="13">
        <f>+A9+A10</f>
        <v>97800</v>
      </c>
    </row>
    <row r="10" spans="1:4" x14ac:dyDescent="0.2">
      <c r="A10" s="5">
        <v>48900</v>
      </c>
      <c r="B10">
        <v>9</v>
      </c>
      <c r="C10" s="15">
        <v>47757</v>
      </c>
    </row>
    <row r="11" spans="1:4" x14ac:dyDescent="0.2">
      <c r="A11" s="5">
        <v>48900</v>
      </c>
      <c r="B11">
        <v>10</v>
      </c>
      <c r="C11" s="15">
        <v>42309</v>
      </c>
      <c r="D11" s="13">
        <f>+A11+A12</f>
        <v>97800</v>
      </c>
    </row>
    <row r="12" spans="1:4" x14ac:dyDescent="0.2">
      <c r="A12" s="5">
        <v>48900</v>
      </c>
      <c r="B12">
        <v>11</v>
      </c>
      <c r="C12" s="15">
        <v>42309</v>
      </c>
    </row>
    <row r="13" spans="1:4" x14ac:dyDescent="0.2">
      <c r="D1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PROYECCION PAGOS</vt:lpstr>
      <vt:lpstr>PROYECCION PAGOS Bancoya</vt:lpstr>
      <vt:lpstr>PROYECCION PAGOS Banco Despues</vt:lpstr>
      <vt:lpstr>PROYECCION PAGOS renuncia</vt:lpstr>
      <vt:lpstr>DISPONIBLE</vt:lpstr>
      <vt:lpstr>CREDITOS CONTROL</vt:lpstr>
      <vt:lpstr>CLARO</vt:lpstr>
      <vt:lpstr>BRILLA</vt:lpstr>
      <vt:lpstr>DAVIVIENDA</vt:lpstr>
      <vt:lpstr>ICETEX</vt:lpstr>
      <vt:lpstr>RECORDAR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Julibeth Cano R</cp:lastModifiedBy>
  <cp:revision/>
  <dcterms:created xsi:type="dcterms:W3CDTF">2026-07-15T04:09:36Z</dcterms:created>
  <dcterms:modified xsi:type="dcterms:W3CDTF">2026-08-20T23:37:43Z</dcterms:modified>
  <cp:category/>
  <cp:contentStatus/>
</cp:coreProperties>
</file>